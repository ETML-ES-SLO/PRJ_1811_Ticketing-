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0" windowWidth="15465" windowHeight="11820" activeTab="1"/>
  </bookViews>
  <sheets>
    <sheet name="Planification" sheetId="1" r:id="rId1"/>
    <sheet name="Journal" sheetId="4" r:id="rId2"/>
    <sheet name="FAQ" sheetId="9" r:id="rId3"/>
    <sheet name="GrilleJNLMaster" sheetId="6" state="hidden" r:id="rId4"/>
    <sheet name="FAQMaster" sheetId="7" state="hidden" r:id="rId5"/>
  </sheets>
  <definedNames>
    <definedName name="DureeP">Planification!$C$10</definedName>
    <definedName name="DureePeriode" localSheetId="4">OFFSET(DureeP,0,0,1,1)</definedName>
    <definedName name="DureePeriode">OFFSET(DureeP,0,0,1,1)</definedName>
    <definedName name="gg">OFFSET(TRAVAUX,0,0,COUNTA(TRAVAUX),1)</definedName>
    <definedName name="LstTaches" localSheetId="4">OFFSET(TRAVAUX,0,0,COUNTA(TRAVAUX),1)</definedName>
    <definedName name="LstTaches" localSheetId="3">OFFSET(TRAVAUX,0,0,COUNTA(TRAVAUX),1)</definedName>
    <definedName name="LstTaches">OFFSET(TRAVAUX,0,0,COUNTA(TRAVAUX),1)</definedName>
    <definedName name="ProjetTravail" localSheetId="4">FAQMaster!$A:$A</definedName>
    <definedName name="ProjetTravail" localSheetId="3">GrilleJNLMaster!$A:$A</definedName>
    <definedName name="ProjetTravail">Journal!$A:$A</definedName>
    <definedName name="TempsM" localSheetId="4">FAQMaster!#REF!</definedName>
    <definedName name="TempsM" localSheetId="3">GrilleJNLMaster!#REF!</definedName>
    <definedName name="TempsM">Journal!#REF!</definedName>
    <definedName name="TempsP" localSheetId="4">FAQMaster!$B:$B</definedName>
    <definedName name="TempsP" localSheetId="3">GrilleJNLMaster!$B:$B</definedName>
    <definedName name="TempsP">Journal!$B:$B</definedName>
    <definedName name="TotJNLM">Planification!#REF!</definedName>
    <definedName name="TotJNLP">Planification!$D$14:$D$30</definedName>
    <definedName name="TotM" localSheetId="4">FAQMaster!#REF!</definedName>
    <definedName name="TotM" localSheetId="3">GrilleJNLMaster!#REF!</definedName>
    <definedName name="TotM">Journal!#REF!</definedName>
    <definedName name="TOTPP">Planification!$C$14:$C$30</definedName>
    <definedName name="TRAVAUX">Planification!$B$14:$B$30</definedName>
    <definedName name="_xlnm.Print_Area" localSheetId="4">FAQMaster!$A$1:$C$2</definedName>
    <definedName name="_xlnm.Print_Area" localSheetId="3">GrilleJNLMaster!$A$1:$D$14</definedName>
    <definedName name="_xlnm.Print_Area" localSheetId="0">Planification!$A$1:$F$32</definedName>
  </definedNames>
  <calcPr calcId="145621"/>
</workbook>
</file>

<file path=xl/calcChain.xml><?xml version="1.0" encoding="utf-8"?>
<calcChain xmlns="http://schemas.openxmlformats.org/spreadsheetml/2006/main">
  <c r="B13" i="4" l="1"/>
  <c r="B27" i="4" l="1"/>
  <c r="B41" i="4"/>
  <c r="B55" i="4"/>
  <c r="B69" i="4"/>
  <c r="B83" i="4"/>
  <c r="B97" i="4"/>
  <c r="B111" i="4"/>
  <c r="B125" i="4"/>
  <c r="B139" i="4" l="1"/>
  <c r="B153" i="4"/>
  <c r="B167" i="4" l="1"/>
  <c r="B181" i="4"/>
  <c r="B195" i="4"/>
  <c r="B209" i="4" l="1"/>
  <c r="B223" i="4"/>
  <c r="B237" i="4"/>
  <c r="B251" i="4"/>
  <c r="B265" i="4" l="1"/>
  <c r="B279" i="4"/>
  <c r="B293" i="4"/>
  <c r="B307" i="4"/>
  <c r="B321" i="4"/>
  <c r="B335" i="4"/>
  <c r="B349" i="4" l="1"/>
  <c r="B363" i="4" l="1"/>
  <c r="B377" i="4"/>
  <c r="B13" i="6" l="1"/>
  <c r="D30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14" i="1"/>
  <c r="D15" i="1"/>
  <c r="C31" i="1"/>
  <c r="D31" i="1" l="1"/>
</calcChain>
</file>

<file path=xl/sharedStrings.xml><?xml version="1.0" encoding="utf-8"?>
<sst xmlns="http://schemas.openxmlformats.org/spreadsheetml/2006/main" count="295" uniqueCount="87">
  <si>
    <t>Journal de travail</t>
  </si>
  <si>
    <t>Total</t>
  </si>
  <si>
    <t>Classe :</t>
  </si>
  <si>
    <t>Lieu :</t>
  </si>
  <si>
    <t>Dates :</t>
  </si>
  <si>
    <t>Date :</t>
  </si>
  <si>
    <t>Durée d'une période [Min] :</t>
  </si>
  <si>
    <t xml:space="preserve">Absences - imprévus </t>
  </si>
  <si>
    <t>Tâche</t>
  </si>
  <si>
    <t>Suite à donner, références, liens, documents reçus, …</t>
  </si>
  <si>
    <r>
      <t>Explications:</t>
    </r>
    <r>
      <rPr>
        <b/>
        <sz val="10"/>
        <rFont val="Arial"/>
        <family val="2"/>
      </rPr>
      <t xml:space="preserve"> qu'est-ce qui a été fait et comment ?</t>
    </r>
  </si>
  <si>
    <t>Total session</t>
  </si>
  <si>
    <t>Sujet</t>
  </si>
  <si>
    <t>Problème - Question</t>
  </si>
  <si>
    <t>Solution - Réponse</t>
  </si>
  <si>
    <t>Notions, activités, délais, priorités, remarques</t>
  </si>
  <si>
    <t>Tâches - objectifs</t>
  </si>
  <si>
    <t>Projet :</t>
  </si>
  <si>
    <t>Durée totale [heures] :</t>
  </si>
  <si>
    <t>Temps effectué [heures]</t>
  </si>
  <si>
    <t>Planification des activités du projet :</t>
  </si>
  <si>
    <t>Nom - prénom :</t>
  </si>
  <si>
    <t>SLO2</t>
  </si>
  <si>
    <t>ETML-ES</t>
  </si>
  <si>
    <t>Pré-étude</t>
  </si>
  <si>
    <t>Design+schéma</t>
  </si>
  <si>
    <t>PCB</t>
  </si>
  <si>
    <t>Montage</t>
  </si>
  <si>
    <t>Software</t>
  </si>
  <si>
    <t>Tests et mise au point</t>
  </si>
  <si>
    <t>Présentation</t>
  </si>
  <si>
    <t>Rapport</t>
  </si>
  <si>
    <t>Routage</t>
  </si>
  <si>
    <t>Finalisation présentation</t>
  </si>
  <si>
    <t>Rédaction rapport partie design</t>
  </si>
  <si>
    <t>Modules de transmission 868MHz</t>
  </si>
  <si>
    <t>Yoann Simonet</t>
  </si>
  <si>
    <t xml:space="preserve">S'informer sur le fonctionnement du NRF905 </t>
  </si>
  <si>
    <t>Prendre connésance du projet</t>
  </si>
  <si>
    <t xml:space="preserve"> Définir le cahier des charges</t>
  </si>
  <si>
    <t>Choix des composants</t>
  </si>
  <si>
    <t>définition d' un protocole de communication</t>
  </si>
  <si>
    <t>Mise en place d'un schéma bloc, changement de uC</t>
  </si>
  <si>
    <t>commencer le schéma</t>
  </si>
  <si>
    <t>Recherch nouveaux composants pour rédurie la taille du futur PCB</t>
  </si>
  <si>
    <t>Faire le raport de la pré-étudue</t>
  </si>
  <si>
    <t>Préparer et faire la présantation</t>
  </si>
  <si>
    <t>modification du schéma pour change de Uc</t>
  </si>
  <si>
    <t>Dessin du board + footprint</t>
  </si>
  <si>
    <t>uc et mémoire différante</t>
  </si>
  <si>
    <t xml:space="preserve">Placement des composant </t>
  </si>
  <si>
    <t>Rédurie la taille du board</t>
  </si>
  <si>
    <t>continuer placement</t>
  </si>
  <si>
    <t>discution pour définir une taille max</t>
  </si>
  <si>
    <t>Remplacer ma partie RF par celle de M.Yersin et finir le routage</t>
  </si>
  <si>
    <t>Commander les composants et fair les fichiers de fab</t>
  </si>
  <si>
    <t>suit a une erreur dans les fichiers la board à été commander le 03.03.17</t>
  </si>
  <si>
    <t>adapter les fonctions I2c ,SPI et UART pour mon projet</t>
  </si>
  <si>
    <t>Montage du PCB</t>
  </si>
  <si>
    <t>Configuration Horloge et timer et IO</t>
  </si>
  <si>
    <t>Test des partie configuré</t>
  </si>
  <si>
    <t>Correction des courcircuits sur le QFN du NRF905</t>
  </si>
  <si>
    <t>Code SPI pour communiqué avec le NRF905</t>
  </si>
  <si>
    <t>Erreur de consomation sur le module</t>
  </si>
  <si>
    <t>Refair le brasures sur le boitier QFN</t>
  </si>
  <si>
    <t>Refair le BSP et amélioration du code SPI</t>
  </si>
  <si>
    <t>refair les test de consomation</t>
  </si>
  <si>
    <t>Erreur design sur les signeaux SPI</t>
  </si>
  <si>
    <t>corriger design</t>
  </si>
  <si>
    <t>Correction du montage et pache</t>
  </si>
  <si>
    <t>corrriger routage</t>
  </si>
  <si>
    <t>refair les fichers fab corrigé</t>
  </si>
  <si>
    <t>Test du nouveaux PCB</t>
  </si>
  <si>
    <t>PCB OK</t>
  </si>
  <si>
    <t xml:space="preserve"> Monter les nouveaux PCB</t>
  </si>
  <si>
    <t>Communication UART entre KIT et module radio</t>
  </si>
  <si>
    <t>Lecture UID en I2C et affichage sur le KIT</t>
  </si>
  <si>
    <t>Comunication SPI et configuration NRF905</t>
  </si>
  <si>
    <t>fonction send message et reciver</t>
  </si>
  <si>
    <t>Corréction code SPI</t>
  </si>
  <si>
    <t>Test de la Configuration</t>
  </si>
  <si>
    <t xml:space="preserve">Test communication RF </t>
  </si>
  <si>
    <t>finaliser machine d' état RF</t>
  </si>
  <si>
    <t>test machine d' état RF</t>
  </si>
  <si>
    <t>Durée planifiée [période]</t>
  </si>
  <si>
    <t>Durée effective  [période]</t>
  </si>
  <si>
    <t>Temps effectué [période]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</si>
</sst>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"/>
    <numFmt numFmtId="165" formatCode="dddd\,\ dd\ mmmm\ yyyy"/>
  </numFmts>
  <fonts count="12" x14ac:knownFonts="1">
    <font>
      <sz val="10"/>
      <name val="Arial"/>
    </font>
    <font>
      <b/>
      <sz val="16"/>
      <name val="Verdana"/>
      <family val="2"/>
    </font>
    <font>
      <sz val="9"/>
      <name val="Verdana"/>
      <family val="2"/>
    </font>
    <font>
      <u/>
      <sz val="10"/>
      <color indexed="12"/>
      <name val="Arial"/>
    </font>
    <font>
      <sz val="16"/>
      <name val="Verdana"/>
      <family val="2"/>
    </font>
    <font>
      <b/>
      <u/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</fills>
  <borders count="59">
    <border>
      <left/>
      <right/>
      <top/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double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double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ashed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95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vertical="center"/>
    </xf>
    <xf numFmtId="0" fontId="0" fillId="2" borderId="0" xfId="0" applyFill="1"/>
    <xf numFmtId="0" fontId="2" fillId="2" borderId="0" xfId="0" applyFont="1" applyFill="1" applyAlignment="1" applyProtection="1">
      <alignment horizontal="center"/>
    </xf>
    <xf numFmtId="0" fontId="9" fillId="0" borderId="1" xfId="0" applyFont="1" applyBorder="1" applyAlignment="1" applyProtection="1">
      <alignment horizontal="center" vertical="center" wrapText="1"/>
      <protection locked="0"/>
    </xf>
    <xf numFmtId="0" fontId="9" fillId="0" borderId="2" xfId="0" applyFont="1" applyFill="1" applyBorder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0" fontId="9" fillId="0" borderId="4" xfId="0" applyFont="1" applyFill="1" applyBorder="1" applyAlignment="1" applyProtection="1">
      <alignment horizontal="center" vertical="center" wrapText="1"/>
      <protection locked="0"/>
    </xf>
    <xf numFmtId="0" fontId="9" fillId="0" borderId="5" xfId="0" applyFont="1" applyBorder="1" applyAlignment="1" applyProtection="1">
      <alignment horizontal="center" vertical="center" wrapText="1"/>
      <protection locked="0"/>
    </xf>
    <xf numFmtId="0" fontId="9" fillId="0" borderId="6" xfId="0" applyFont="1" applyFill="1" applyBorder="1" applyAlignment="1" applyProtection="1">
      <alignment horizontal="center" vertical="center" wrapText="1"/>
      <protection locked="0"/>
    </xf>
    <xf numFmtId="0" fontId="1" fillId="3" borderId="7" xfId="0" applyFont="1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1" fillId="3" borderId="9" xfId="0" applyFont="1" applyFill="1" applyBorder="1" applyAlignment="1" applyProtection="1">
      <alignment vertical="center"/>
    </xf>
    <xf numFmtId="0" fontId="7" fillId="3" borderId="10" xfId="0" applyFont="1" applyFill="1" applyBorder="1" applyAlignment="1" applyProtection="1">
      <alignment horizontal="center" vertical="center"/>
    </xf>
    <xf numFmtId="0" fontId="7" fillId="3" borderId="10" xfId="0" applyFont="1" applyFill="1" applyBorder="1" applyAlignment="1" applyProtection="1">
      <alignment horizontal="center" vertical="center" wrapText="1"/>
    </xf>
    <xf numFmtId="0" fontId="7" fillId="3" borderId="11" xfId="0" applyFont="1" applyFill="1" applyBorder="1" applyAlignment="1" applyProtection="1">
      <alignment horizontal="center" vertical="center" wrapText="1"/>
    </xf>
    <xf numFmtId="164" fontId="7" fillId="3" borderId="10" xfId="0" applyNumberFormat="1" applyFont="1" applyFill="1" applyBorder="1" applyAlignment="1" applyProtection="1">
      <alignment horizontal="center" vertical="center"/>
    </xf>
    <xf numFmtId="0" fontId="7" fillId="3" borderId="11" xfId="0" applyFont="1" applyFill="1" applyBorder="1" applyAlignment="1" applyProtection="1">
      <alignment vertical="center"/>
    </xf>
    <xf numFmtId="0" fontId="0" fillId="0" borderId="12" xfId="0" applyBorder="1" applyProtection="1"/>
    <xf numFmtId="0" fontId="0" fillId="0" borderId="13" xfId="0" applyFill="1" applyBorder="1" applyProtection="1"/>
    <xf numFmtId="0" fontId="0" fillId="0" borderId="14" xfId="0" applyBorder="1" applyProtection="1"/>
    <xf numFmtId="0" fontId="2" fillId="0" borderId="0" xfId="0" applyFont="1" applyBorder="1" applyProtection="1"/>
    <xf numFmtId="0" fontId="0" fillId="0" borderId="15" xfId="0" applyFill="1" applyBorder="1" applyProtection="1"/>
    <xf numFmtId="0" fontId="4" fillId="0" borderId="0" xfId="0" applyFont="1" applyBorder="1" applyAlignment="1" applyProtection="1">
      <alignment vertical="center"/>
    </xf>
    <xf numFmtId="0" fontId="0" fillId="0" borderId="14" xfId="0" applyBorder="1" applyAlignment="1" applyProtection="1">
      <alignment horizontal="left"/>
    </xf>
    <xf numFmtId="0" fontId="1" fillId="0" borderId="0" xfId="0" applyFont="1" applyBorder="1" applyAlignment="1" applyProtection="1">
      <alignment horizontal="left" vertical="center"/>
    </xf>
    <xf numFmtId="0" fontId="0" fillId="0" borderId="16" xfId="0" applyBorder="1" applyProtection="1"/>
    <xf numFmtId="0" fontId="0" fillId="0" borderId="17" xfId="0" applyBorder="1" applyProtection="1"/>
    <xf numFmtId="0" fontId="0" fillId="0" borderId="18" xfId="0" applyFill="1" applyBorder="1" applyProtection="1"/>
    <xf numFmtId="0" fontId="0" fillId="0" borderId="19" xfId="0" applyBorder="1" applyAlignment="1" applyProtection="1">
      <alignment vertical="center"/>
    </xf>
    <xf numFmtId="0" fontId="0" fillId="0" borderId="20" xfId="0" applyBorder="1" applyAlignment="1" applyProtection="1">
      <alignment vertical="center"/>
    </xf>
    <xf numFmtId="0" fontId="8" fillId="3" borderId="11" xfId="0" applyFont="1" applyFill="1" applyBorder="1" applyAlignment="1" applyProtection="1">
      <alignment horizontal="center" vertical="center" wrapText="1"/>
    </xf>
    <xf numFmtId="0" fontId="2" fillId="2" borderId="0" xfId="0" applyFont="1" applyFill="1" applyProtection="1"/>
    <xf numFmtId="0" fontId="9" fillId="0" borderId="21" xfId="0" applyFont="1" applyBorder="1" applyAlignment="1" applyProtection="1">
      <alignment horizontal="left" vertical="top" wrapText="1"/>
      <protection locked="0"/>
    </xf>
    <xf numFmtId="0" fontId="9" fillId="0" borderId="22" xfId="0" applyFont="1" applyBorder="1" applyAlignment="1" applyProtection="1">
      <alignment horizontal="left" vertical="top" wrapText="1"/>
      <protection locked="0"/>
    </xf>
    <xf numFmtId="0" fontId="8" fillId="3" borderId="23" xfId="0" applyFont="1" applyFill="1" applyBorder="1" applyAlignment="1" applyProtection="1">
      <alignment horizontal="left" vertical="center" wrapText="1"/>
    </xf>
    <xf numFmtId="0" fontId="9" fillId="0" borderId="2" xfId="0" applyFont="1" applyBorder="1" applyAlignment="1" applyProtection="1">
      <alignment horizontal="left" vertical="top" wrapText="1"/>
      <protection locked="0"/>
    </xf>
    <xf numFmtId="0" fontId="9" fillId="0" borderId="4" xfId="0" applyFont="1" applyBorder="1" applyAlignment="1" applyProtection="1">
      <alignment horizontal="left" vertical="top" wrapText="1"/>
      <protection locked="0"/>
    </xf>
    <xf numFmtId="0" fontId="9" fillId="0" borderId="6" xfId="0" applyFont="1" applyBorder="1" applyAlignment="1" applyProtection="1">
      <alignment horizontal="left" vertical="top" wrapText="1"/>
      <protection locked="0"/>
    </xf>
    <xf numFmtId="0" fontId="9" fillId="0" borderId="24" xfId="0" applyFont="1" applyBorder="1" applyAlignment="1" applyProtection="1">
      <alignment horizontal="left" vertical="top" wrapText="1"/>
      <protection locked="0"/>
    </xf>
    <xf numFmtId="0" fontId="7" fillId="3" borderId="25" xfId="0" applyFont="1" applyFill="1" applyBorder="1" applyAlignment="1" applyProtection="1">
      <alignment horizontal="center" vertical="center"/>
    </xf>
    <xf numFmtId="0" fontId="10" fillId="3" borderId="26" xfId="0" applyFont="1" applyFill="1" applyBorder="1" applyAlignment="1" applyProtection="1">
      <alignment horizontal="center" vertical="center"/>
    </xf>
    <xf numFmtId="0" fontId="10" fillId="3" borderId="27" xfId="0" applyFont="1" applyFill="1" applyBorder="1" applyAlignment="1" applyProtection="1">
      <alignment horizontal="center" vertical="center"/>
    </xf>
    <xf numFmtId="0" fontId="10" fillId="3" borderId="11" xfId="0" applyFont="1" applyFill="1" applyBorder="1" applyAlignment="1" applyProtection="1">
      <alignment horizontal="center" vertical="center"/>
    </xf>
    <xf numFmtId="0" fontId="9" fillId="0" borderId="4" xfId="1" applyFont="1" applyBorder="1" applyAlignment="1" applyProtection="1">
      <alignment horizontal="left" vertical="top" wrapText="1"/>
      <protection locked="0"/>
    </xf>
    <xf numFmtId="0" fontId="10" fillId="3" borderId="28" xfId="0" applyFont="1" applyFill="1" applyBorder="1" applyAlignment="1" applyProtection="1">
      <alignment horizontal="center" vertical="center"/>
    </xf>
    <xf numFmtId="0" fontId="10" fillId="3" borderId="29" xfId="0" applyFont="1" applyFill="1" applyBorder="1" applyAlignment="1" applyProtection="1">
      <alignment horizontal="center" vertical="center"/>
    </xf>
    <xf numFmtId="0" fontId="10" fillId="3" borderId="30" xfId="0" applyFont="1" applyFill="1" applyBorder="1" applyAlignment="1" applyProtection="1">
      <alignment horizontal="center" vertical="center"/>
    </xf>
    <xf numFmtId="0" fontId="9" fillId="0" borderId="31" xfId="0" applyFont="1" applyBorder="1" applyAlignment="1" applyProtection="1">
      <alignment horizontal="center" vertical="center" wrapText="1"/>
    </xf>
    <xf numFmtId="0" fontId="9" fillId="0" borderId="31" xfId="0" applyFont="1" applyFill="1" applyBorder="1" applyAlignment="1" applyProtection="1">
      <alignment horizontal="center" vertical="center" wrapText="1"/>
    </xf>
    <xf numFmtId="0" fontId="9" fillId="0" borderId="32" xfId="0" applyFont="1" applyBorder="1" applyAlignment="1" applyProtection="1">
      <alignment horizontal="left" vertical="top" wrapText="1"/>
    </xf>
    <xf numFmtId="0" fontId="9" fillId="0" borderId="33" xfId="0" applyFont="1" applyBorder="1" applyAlignment="1" applyProtection="1">
      <alignment horizontal="left" vertical="top" wrapText="1"/>
    </xf>
    <xf numFmtId="0" fontId="0" fillId="3" borderId="0" xfId="0" applyFill="1"/>
    <xf numFmtId="0" fontId="2" fillId="3" borderId="0" xfId="0" applyFont="1" applyFill="1" applyAlignment="1">
      <alignment horizontal="center"/>
    </xf>
    <xf numFmtId="0" fontId="2" fillId="3" borderId="0" xfId="0" applyFont="1" applyFill="1" applyAlignment="1" applyProtection="1">
      <alignment horizontal="center"/>
    </xf>
    <xf numFmtId="0" fontId="2" fillId="3" borderId="0" xfId="0" applyFont="1" applyFill="1"/>
    <xf numFmtId="0" fontId="7" fillId="3" borderId="10" xfId="0" applyFont="1" applyFill="1" applyBorder="1" applyAlignment="1" applyProtection="1">
      <alignment horizontal="right" vertical="center"/>
    </xf>
    <xf numFmtId="0" fontId="6" fillId="0" borderId="34" xfId="0" applyFont="1" applyBorder="1" applyAlignment="1" applyProtection="1">
      <alignment horizontal="left" vertical="center" wrapText="1" indent="1"/>
      <protection locked="0"/>
    </xf>
    <xf numFmtId="0" fontId="6" fillId="3" borderId="35" xfId="0" applyFont="1" applyFill="1" applyBorder="1" applyAlignment="1" applyProtection="1">
      <alignment horizontal="left" vertical="center" indent="1"/>
    </xf>
    <xf numFmtId="1" fontId="6" fillId="3" borderId="35" xfId="0" applyNumberFormat="1" applyFont="1" applyFill="1" applyBorder="1" applyAlignment="1" applyProtection="1">
      <alignment horizontal="center" vertical="center"/>
    </xf>
    <xf numFmtId="164" fontId="6" fillId="3" borderId="36" xfId="0" applyNumberFormat="1" applyFont="1" applyFill="1" applyBorder="1" applyAlignment="1" applyProtection="1">
      <alignment horizontal="center" vertical="center"/>
    </xf>
    <xf numFmtId="1" fontId="6" fillId="0" borderId="34" xfId="0" applyNumberFormat="1" applyFont="1" applyBorder="1" applyAlignment="1" applyProtection="1">
      <alignment horizontal="center" vertical="center"/>
      <protection locked="0"/>
    </xf>
    <xf numFmtId="1" fontId="6" fillId="0" borderId="37" xfId="0" applyNumberFormat="1" applyFont="1" applyBorder="1" applyAlignment="1" applyProtection="1">
      <alignment horizontal="center" vertical="center"/>
      <protection locked="0"/>
    </xf>
    <xf numFmtId="0" fontId="6" fillId="0" borderId="38" xfId="0" applyFont="1" applyBorder="1" applyAlignment="1" applyProtection="1">
      <alignment horizontal="justify" vertical="distributed" wrapText="1"/>
      <protection locked="0"/>
    </xf>
    <xf numFmtId="0" fontId="6" fillId="0" borderId="39" xfId="0" applyFont="1" applyBorder="1" applyAlignment="1" applyProtection="1">
      <alignment horizontal="justify" vertical="distributed" wrapText="1"/>
      <protection locked="0"/>
    </xf>
    <xf numFmtId="0" fontId="6" fillId="0" borderId="40" xfId="0" applyFont="1" applyBorder="1" applyAlignment="1" applyProtection="1">
      <alignment horizontal="justify" vertical="distributed" wrapText="1"/>
      <protection locked="0"/>
    </xf>
    <xf numFmtId="165" fontId="8" fillId="0" borderId="41" xfId="0" applyNumberFormat="1" applyFont="1" applyFill="1" applyBorder="1" applyAlignment="1" applyProtection="1">
      <alignment horizontal="center" vertical="center"/>
      <protection locked="0"/>
    </xf>
    <xf numFmtId="0" fontId="10" fillId="0" borderId="42" xfId="0" applyFont="1" applyFill="1" applyBorder="1" applyAlignment="1" applyProtection="1">
      <alignment horizontal="left" vertical="top" wrapText="1"/>
    </xf>
    <xf numFmtId="0" fontId="9" fillId="0" borderId="43" xfId="0" applyFont="1" applyBorder="1" applyAlignment="1" applyProtection="1">
      <alignment horizontal="left" vertical="top" wrapText="1"/>
      <protection locked="0"/>
    </xf>
    <xf numFmtId="0" fontId="9" fillId="0" borderId="44" xfId="0" applyFont="1" applyBorder="1" applyAlignment="1" applyProtection="1">
      <alignment horizontal="left" vertical="top" wrapText="1"/>
      <protection locked="0"/>
    </xf>
    <xf numFmtId="0" fontId="1" fillId="3" borderId="55" xfId="0" applyFont="1" applyFill="1" applyBorder="1" applyAlignment="1" applyProtection="1">
      <alignment vertical="center" wrapText="1"/>
    </xf>
    <xf numFmtId="0" fontId="4" fillId="0" borderId="56" xfId="0" applyFont="1" applyFill="1" applyBorder="1" applyAlignment="1" applyProtection="1">
      <alignment horizontal="left" vertical="center" indent="2"/>
      <protection locked="0"/>
    </xf>
    <xf numFmtId="0" fontId="4" fillId="0" borderId="57" xfId="0" applyFont="1" applyFill="1" applyBorder="1" applyAlignment="1" applyProtection="1">
      <alignment horizontal="left" vertical="center" indent="2"/>
      <protection locked="0"/>
    </xf>
    <xf numFmtId="0" fontId="4" fillId="0" borderId="58" xfId="0" applyFont="1" applyFill="1" applyBorder="1" applyAlignment="1" applyProtection="1">
      <alignment horizontal="left" vertical="center" indent="2"/>
      <protection locked="0"/>
    </xf>
    <xf numFmtId="0" fontId="4" fillId="0" borderId="45" xfId="0" applyFont="1" applyBorder="1" applyAlignment="1" applyProtection="1">
      <alignment horizontal="left" vertical="center" indent="2" shrinkToFit="1"/>
      <protection locked="0"/>
    </xf>
    <xf numFmtId="0" fontId="4" fillId="0" borderId="46" xfId="0" applyFont="1" applyBorder="1" applyAlignment="1" applyProtection="1">
      <alignment horizontal="left" vertical="center" indent="2" shrinkToFit="1"/>
      <protection locked="0"/>
    </xf>
    <xf numFmtId="0" fontId="4" fillId="0" borderId="47" xfId="0" applyFont="1" applyBorder="1" applyAlignment="1" applyProtection="1">
      <alignment horizontal="left" vertical="center" indent="2" shrinkToFit="1"/>
      <protection locked="0"/>
    </xf>
    <xf numFmtId="0" fontId="5" fillId="0" borderId="48" xfId="0" applyFont="1" applyBorder="1" applyAlignment="1" applyProtection="1">
      <alignment horizontal="center" vertical="center"/>
    </xf>
    <xf numFmtId="0" fontId="4" fillId="0" borderId="49" xfId="0" applyFont="1" applyBorder="1" applyAlignment="1" applyProtection="1">
      <alignment horizontal="left" vertical="center" indent="2" shrinkToFit="1"/>
      <protection locked="0"/>
    </xf>
    <xf numFmtId="0" fontId="4" fillId="0" borderId="50" xfId="0" applyFont="1" applyBorder="1" applyAlignment="1" applyProtection="1">
      <alignment horizontal="left" vertical="center" indent="2" shrinkToFit="1"/>
      <protection locked="0"/>
    </xf>
    <xf numFmtId="0" fontId="4" fillId="0" borderId="51" xfId="0" applyFont="1" applyBorder="1" applyAlignment="1" applyProtection="1">
      <alignment horizontal="left" vertical="center" indent="2" shrinkToFit="1"/>
      <protection locked="0"/>
    </xf>
    <xf numFmtId="0" fontId="4" fillId="0" borderId="52" xfId="0" applyFont="1" applyBorder="1" applyAlignment="1" applyProtection="1">
      <alignment horizontal="left" vertical="center" indent="2"/>
      <protection locked="0"/>
    </xf>
    <xf numFmtId="0" fontId="4" fillId="0" borderId="53" xfId="0" applyFont="1" applyBorder="1" applyAlignment="1" applyProtection="1">
      <alignment horizontal="left" vertical="center" indent="2"/>
      <protection locked="0"/>
    </xf>
    <xf numFmtId="0" fontId="4" fillId="0" borderId="54" xfId="0" applyFont="1" applyBorder="1" applyAlignment="1" applyProtection="1">
      <alignment horizontal="left" vertical="center" indent="2"/>
      <protection locked="0"/>
    </xf>
    <xf numFmtId="0" fontId="4" fillId="0" borderId="52" xfId="0" applyFont="1" applyBorder="1" applyAlignment="1" applyProtection="1">
      <alignment horizontal="left" vertical="center" indent="2" shrinkToFit="1"/>
      <protection locked="0"/>
    </xf>
    <xf numFmtId="0" fontId="4" fillId="0" borderId="53" xfId="0" applyFont="1" applyBorder="1" applyAlignment="1" applyProtection="1">
      <alignment horizontal="left" vertical="center" indent="2" shrinkToFit="1"/>
      <protection locked="0"/>
    </xf>
    <xf numFmtId="0" fontId="4" fillId="0" borderId="54" xfId="0" applyFont="1" applyBorder="1" applyAlignment="1" applyProtection="1">
      <alignment horizontal="left" vertical="center" indent="2" shrinkToFit="1"/>
      <protection locked="0"/>
    </xf>
    <xf numFmtId="14" fontId="6" fillId="0" borderId="49" xfId="0" applyNumberFormat="1" applyFont="1" applyBorder="1" applyAlignment="1" applyProtection="1">
      <alignment horizontal="left" vertical="center" indent="2" shrinkToFit="1"/>
      <protection locked="0"/>
    </xf>
    <xf numFmtId="0" fontId="6" fillId="0" borderId="50" xfId="0" applyFont="1" applyBorder="1" applyAlignment="1" applyProtection="1">
      <alignment horizontal="left" vertical="center" indent="2" shrinkToFit="1"/>
      <protection locked="0"/>
    </xf>
    <xf numFmtId="0" fontId="6" fillId="0" borderId="51" xfId="0" applyFont="1" applyBorder="1" applyAlignment="1" applyProtection="1">
      <alignment horizontal="left" vertical="center" indent="2" shrinkToFit="1"/>
      <protection locked="0"/>
    </xf>
    <xf numFmtId="0" fontId="4" fillId="0" borderId="45" xfId="0" applyFont="1" applyBorder="1" applyAlignment="1" applyProtection="1">
      <alignment horizontal="left" vertical="center" indent="2"/>
      <protection locked="0"/>
    </xf>
    <xf numFmtId="0" fontId="4" fillId="0" borderId="46" xfId="0" applyFont="1" applyBorder="1" applyAlignment="1" applyProtection="1">
      <alignment horizontal="left" vertical="center" indent="2"/>
      <protection locked="0"/>
    </xf>
    <xf numFmtId="0" fontId="4" fillId="0" borderId="47" xfId="0" applyFont="1" applyBorder="1" applyAlignment="1" applyProtection="1">
      <alignment horizontal="left" vertical="center" indent="2"/>
      <protection locked="0"/>
    </xf>
    <xf numFmtId="0" fontId="4" fillId="0" borderId="0" xfId="0" applyFont="1" applyBorder="1" applyAlignment="1" applyProtection="1">
      <alignment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392</xdr:row>
          <xdr:rowOff>0</xdr:rowOff>
        </xdr:from>
        <xdr:to>
          <xdr:col>6</xdr:col>
          <xdr:colOff>219075</xdr:colOff>
          <xdr:row>392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Nouvelle leçon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1162050</xdr:colOff>
          <xdr:row>0</xdr:row>
          <xdr:rowOff>19050</xdr:rowOff>
        </xdr:from>
        <xdr:to>
          <xdr:col>3</xdr:col>
          <xdr:colOff>1905000</xdr:colOff>
          <xdr:row>1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Nouveau jour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0</xdr:row>
          <xdr:rowOff>28575</xdr:rowOff>
        </xdr:from>
        <xdr:to>
          <xdr:col>4</xdr:col>
          <xdr:colOff>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Nouvelle question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pageSetUpPr fitToPage="1"/>
  </sheetPr>
  <dimension ref="A1:F33"/>
  <sheetViews>
    <sheetView showGridLines="0" topLeftCell="A14" zoomScale="55" zoomScaleNormal="55" zoomScaleSheetLayoutView="40" workbookViewId="0">
      <selection activeCell="D17" sqref="D17"/>
    </sheetView>
  </sheetViews>
  <sheetFormatPr baseColWidth="10" defaultRowHeight="12.75" x14ac:dyDescent="0.2"/>
  <cols>
    <col min="1" max="1" width="11.42578125" style="3"/>
    <col min="2" max="2" width="51.85546875" style="3" customWidth="1"/>
    <col min="3" max="4" width="26.7109375" style="3" customWidth="1"/>
    <col min="5" max="5" width="150.7109375" style="3" customWidth="1"/>
    <col min="6" max="16384" width="11.42578125" style="3"/>
  </cols>
  <sheetData>
    <row r="1" spans="1:6" ht="35.1" customHeight="1" thickTop="1" x14ac:dyDescent="0.2">
      <c r="A1" s="19"/>
      <c r="B1" s="78" t="s">
        <v>0</v>
      </c>
      <c r="C1" s="78"/>
      <c r="D1" s="78"/>
      <c r="E1" s="78"/>
      <c r="F1" s="20"/>
    </row>
    <row r="2" spans="1:6" ht="13.5" thickBot="1" x14ac:dyDescent="0.25">
      <c r="A2" s="21"/>
      <c r="B2" s="22"/>
      <c r="C2" s="22"/>
      <c r="D2" s="22"/>
      <c r="E2" s="22"/>
      <c r="F2" s="23"/>
    </row>
    <row r="3" spans="1:6" ht="30" customHeight="1" x14ac:dyDescent="0.2">
      <c r="A3" s="21"/>
      <c r="B3" s="11" t="s">
        <v>17</v>
      </c>
      <c r="C3" s="79" t="s">
        <v>35</v>
      </c>
      <c r="D3" s="80"/>
      <c r="E3" s="81"/>
      <c r="F3" s="23"/>
    </row>
    <row r="4" spans="1:6" ht="30" customHeight="1" x14ac:dyDescent="0.2">
      <c r="A4" s="21"/>
      <c r="B4" s="12" t="s">
        <v>21</v>
      </c>
      <c r="C4" s="82" t="s">
        <v>36</v>
      </c>
      <c r="D4" s="83"/>
      <c r="E4" s="84"/>
      <c r="F4" s="23"/>
    </row>
    <row r="5" spans="1:6" ht="30" customHeight="1" x14ac:dyDescent="0.2">
      <c r="A5" s="21"/>
      <c r="B5" s="12" t="s">
        <v>2</v>
      </c>
      <c r="C5" s="85" t="s">
        <v>22</v>
      </c>
      <c r="D5" s="86"/>
      <c r="E5" s="87"/>
      <c r="F5" s="23"/>
    </row>
    <row r="6" spans="1:6" ht="30" customHeight="1" thickBot="1" x14ac:dyDescent="0.25">
      <c r="A6" s="21"/>
      <c r="B6" s="13" t="s">
        <v>3</v>
      </c>
      <c r="C6" s="75" t="s">
        <v>23</v>
      </c>
      <c r="D6" s="76"/>
      <c r="E6" s="77"/>
      <c r="F6" s="23"/>
    </row>
    <row r="7" spans="1:6" ht="20.100000000000001" customHeight="1" thickBot="1" x14ac:dyDescent="0.25">
      <c r="A7" s="21"/>
      <c r="B7" s="94"/>
      <c r="C7" s="94"/>
      <c r="D7" s="94"/>
      <c r="E7" s="94"/>
      <c r="F7" s="23"/>
    </row>
    <row r="8" spans="1:6" ht="30" customHeight="1" x14ac:dyDescent="0.2">
      <c r="A8" s="21"/>
      <c r="B8" s="11" t="s">
        <v>4</v>
      </c>
      <c r="C8" s="88">
        <v>42692</v>
      </c>
      <c r="D8" s="89"/>
      <c r="E8" s="90"/>
      <c r="F8" s="23"/>
    </row>
    <row r="9" spans="1:6" ht="30" customHeight="1" thickBot="1" x14ac:dyDescent="0.25">
      <c r="A9" s="21"/>
      <c r="B9" s="13" t="s">
        <v>18</v>
      </c>
      <c r="C9" s="91"/>
      <c r="D9" s="92"/>
      <c r="E9" s="93"/>
      <c r="F9" s="23"/>
    </row>
    <row r="10" spans="1:6" ht="30" hidden="1" customHeight="1" thickBot="1" x14ac:dyDescent="0.25">
      <c r="A10" s="21"/>
      <c r="B10" s="71" t="s">
        <v>6</v>
      </c>
      <c r="C10" s="72">
        <v>60</v>
      </c>
      <c r="D10" s="73"/>
      <c r="E10" s="74"/>
      <c r="F10" s="23"/>
    </row>
    <row r="11" spans="1:6" ht="20.100000000000001" customHeight="1" x14ac:dyDescent="0.2">
      <c r="A11" s="21"/>
      <c r="B11" s="24"/>
      <c r="C11" s="24"/>
      <c r="D11" s="24"/>
      <c r="E11" s="24"/>
      <c r="F11" s="23"/>
    </row>
    <row r="12" spans="1:6" ht="30" customHeight="1" thickBot="1" x14ac:dyDescent="0.25">
      <c r="A12" s="25"/>
      <c r="B12" s="26" t="s">
        <v>20</v>
      </c>
      <c r="C12" s="24"/>
      <c r="D12" s="24"/>
      <c r="E12" s="24"/>
      <c r="F12" s="23"/>
    </row>
    <row r="13" spans="1:6" ht="42.75" customHeight="1" thickBot="1" x14ac:dyDescent="0.25">
      <c r="A13" s="21"/>
      <c r="B13" s="14" t="s">
        <v>16</v>
      </c>
      <c r="C13" s="15" t="s">
        <v>84</v>
      </c>
      <c r="D13" s="16" t="s">
        <v>85</v>
      </c>
      <c r="E13" s="41" t="s">
        <v>15</v>
      </c>
      <c r="F13" s="23"/>
    </row>
    <row r="14" spans="1:6" ht="40.15" customHeight="1" x14ac:dyDescent="0.2">
      <c r="A14" s="21"/>
      <c r="B14" s="59" t="s">
        <v>7</v>
      </c>
      <c r="C14" s="60">
        <v>0</v>
      </c>
      <c r="D14" s="61">
        <f t="shared" ref="D14:D30" si="0">ROUNDDOWN((SUMIF(ProjetTravail,TRAVAUX,TempsP)*DureeP)/DureeP,0)</f>
        <v>0</v>
      </c>
      <c r="E14" s="64"/>
      <c r="F14" s="23"/>
    </row>
    <row r="15" spans="1:6" ht="40.15" customHeight="1" x14ac:dyDescent="0.2">
      <c r="A15" s="21"/>
      <c r="B15" s="58" t="s">
        <v>24</v>
      </c>
      <c r="C15" s="62"/>
      <c r="D15" s="61">
        <f t="shared" si="0"/>
        <v>18</v>
      </c>
      <c r="E15" s="65"/>
      <c r="F15" s="23"/>
    </row>
    <row r="16" spans="1:6" ht="40.15" customHeight="1" x14ac:dyDescent="0.2">
      <c r="A16" s="21"/>
      <c r="B16" s="58" t="s">
        <v>25</v>
      </c>
      <c r="C16" s="62"/>
      <c r="D16" s="61">
        <f t="shared" si="0"/>
        <v>20</v>
      </c>
      <c r="E16" s="65"/>
      <c r="F16" s="23"/>
    </row>
    <row r="17" spans="1:6" ht="40.15" customHeight="1" x14ac:dyDescent="0.2">
      <c r="A17" s="21"/>
      <c r="B17" s="58" t="s">
        <v>26</v>
      </c>
      <c r="C17" s="62"/>
      <c r="D17" s="61">
        <f t="shared" si="0"/>
        <v>38</v>
      </c>
      <c r="E17" s="65"/>
      <c r="F17" s="23"/>
    </row>
    <row r="18" spans="1:6" ht="40.15" customHeight="1" x14ac:dyDescent="0.2">
      <c r="A18" s="21"/>
      <c r="B18" s="58" t="s">
        <v>27</v>
      </c>
      <c r="C18" s="62"/>
      <c r="D18" s="61">
        <f t="shared" si="0"/>
        <v>28</v>
      </c>
      <c r="E18" s="65"/>
      <c r="F18" s="23"/>
    </row>
    <row r="19" spans="1:6" ht="40.15" customHeight="1" x14ac:dyDescent="0.2">
      <c r="A19" s="21"/>
      <c r="B19" s="58" t="s">
        <v>28</v>
      </c>
      <c r="C19" s="62"/>
      <c r="D19" s="61">
        <f t="shared" si="0"/>
        <v>82</v>
      </c>
      <c r="E19" s="65"/>
      <c r="F19" s="23"/>
    </row>
    <row r="20" spans="1:6" ht="40.15" customHeight="1" x14ac:dyDescent="0.2">
      <c r="A20" s="21"/>
      <c r="B20" s="58" t="s">
        <v>29</v>
      </c>
      <c r="C20" s="62"/>
      <c r="D20" s="61">
        <f t="shared" si="0"/>
        <v>25</v>
      </c>
      <c r="E20" s="65"/>
      <c r="F20" s="23"/>
    </row>
    <row r="21" spans="1:6" ht="40.15" customHeight="1" x14ac:dyDescent="0.2">
      <c r="A21" s="21"/>
      <c r="B21" s="58" t="s">
        <v>31</v>
      </c>
      <c r="C21" s="62"/>
      <c r="D21" s="61">
        <f t="shared" si="0"/>
        <v>22</v>
      </c>
      <c r="E21" s="65"/>
      <c r="F21" s="23"/>
    </row>
    <row r="22" spans="1:6" ht="40.15" customHeight="1" x14ac:dyDescent="0.2">
      <c r="A22" s="21"/>
      <c r="B22" s="58" t="s">
        <v>30</v>
      </c>
      <c r="C22" s="62"/>
      <c r="D22" s="61">
        <f t="shared" si="0"/>
        <v>6</v>
      </c>
      <c r="E22" s="65"/>
      <c r="F22" s="23"/>
    </row>
    <row r="23" spans="1:6" ht="40.15" customHeight="1" x14ac:dyDescent="0.2">
      <c r="A23" s="21"/>
      <c r="B23" s="58"/>
      <c r="C23" s="62"/>
      <c r="D23" s="61">
        <f t="shared" si="0"/>
        <v>0</v>
      </c>
      <c r="E23" s="65"/>
      <c r="F23" s="23"/>
    </row>
    <row r="24" spans="1:6" ht="40.15" customHeight="1" x14ac:dyDescent="0.2">
      <c r="A24" s="21"/>
      <c r="B24" s="58"/>
      <c r="C24" s="62"/>
      <c r="D24" s="61">
        <f t="shared" si="0"/>
        <v>0</v>
      </c>
      <c r="E24" s="65"/>
      <c r="F24" s="23"/>
    </row>
    <row r="25" spans="1:6" ht="40.15" customHeight="1" x14ac:dyDescent="0.2">
      <c r="A25" s="21"/>
      <c r="B25" s="58"/>
      <c r="C25" s="62"/>
      <c r="D25" s="61">
        <f t="shared" si="0"/>
        <v>0</v>
      </c>
      <c r="E25" s="65"/>
      <c r="F25" s="23"/>
    </row>
    <row r="26" spans="1:6" ht="40.15" customHeight="1" x14ac:dyDescent="0.2">
      <c r="A26" s="21"/>
      <c r="B26" s="58"/>
      <c r="C26" s="62"/>
      <c r="D26" s="61">
        <f t="shared" si="0"/>
        <v>0</v>
      </c>
      <c r="E26" s="65"/>
      <c r="F26" s="23"/>
    </row>
    <row r="27" spans="1:6" ht="40.15" customHeight="1" x14ac:dyDescent="0.2">
      <c r="A27" s="21"/>
      <c r="B27" s="58"/>
      <c r="C27" s="62"/>
      <c r="D27" s="61">
        <f t="shared" si="0"/>
        <v>0</v>
      </c>
      <c r="E27" s="65"/>
      <c r="F27" s="23"/>
    </row>
    <row r="28" spans="1:6" ht="40.15" customHeight="1" x14ac:dyDescent="0.2">
      <c r="A28" s="21"/>
      <c r="B28" s="58"/>
      <c r="C28" s="62"/>
      <c r="D28" s="61">
        <f t="shared" si="0"/>
        <v>0</v>
      </c>
      <c r="E28" s="65"/>
      <c r="F28" s="23"/>
    </row>
    <row r="29" spans="1:6" ht="40.15" customHeight="1" x14ac:dyDescent="0.2">
      <c r="A29" s="21"/>
      <c r="B29" s="58"/>
      <c r="C29" s="62"/>
      <c r="D29" s="61">
        <f t="shared" si="0"/>
        <v>0</v>
      </c>
      <c r="E29" s="65"/>
      <c r="F29" s="23"/>
    </row>
    <row r="30" spans="1:6" ht="40.15" customHeight="1" thickBot="1" x14ac:dyDescent="0.25">
      <c r="A30" s="21"/>
      <c r="B30" s="58"/>
      <c r="C30" s="63"/>
      <c r="D30" s="61">
        <f t="shared" si="0"/>
        <v>0</v>
      </c>
      <c r="E30" s="66"/>
      <c r="F30" s="23"/>
    </row>
    <row r="31" spans="1:6" ht="40.15" customHeight="1" thickBot="1" x14ac:dyDescent="0.25">
      <c r="A31" s="21"/>
      <c r="B31" s="57" t="s">
        <v>1</v>
      </c>
      <c r="C31" s="17">
        <f>SUM(TOTPP)</f>
        <v>0</v>
      </c>
      <c r="D31" s="17">
        <f>SUM(TotJNLP)</f>
        <v>239</v>
      </c>
      <c r="E31" s="18"/>
      <c r="F31" s="23"/>
    </row>
    <row r="32" spans="1:6" ht="20.100000000000001" customHeight="1" thickBot="1" x14ac:dyDescent="0.25">
      <c r="A32" s="27"/>
      <c r="B32" s="28"/>
      <c r="C32" s="28"/>
      <c r="D32" s="28"/>
      <c r="E32" s="28"/>
      <c r="F32" s="29"/>
    </row>
    <row r="33" ht="13.5" thickTop="1" x14ac:dyDescent="0.2"/>
  </sheetData>
  <sheetProtection insertRows="0" insertHyperlinks="0" selectLockedCells="1"/>
  <mergeCells count="9">
    <mergeCell ref="C10:E10"/>
    <mergeCell ref="C6:E6"/>
    <mergeCell ref="B1:E1"/>
    <mergeCell ref="C3:E3"/>
    <mergeCell ref="C4:E4"/>
    <mergeCell ref="C5:E5"/>
    <mergeCell ref="C8:E8"/>
    <mergeCell ref="C9:E9"/>
    <mergeCell ref="B7:E7"/>
  </mergeCells>
  <phoneticPr fontId="0" type="noConversion"/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5:C30">
      <formula1>0</formula1>
      <formula2>$C$9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48" orientation="landscape" horizontalDpi="300" verticalDpi="300" r:id="rId1"/>
  <headerFooter alignWithMargins="0">
    <oddHeader>&amp;L&amp;"ETML,Normal"&amp;14ETML&amp;R&amp;14&amp;USection Electronique</oddHeader>
    <oddFooter>&amp;L&amp;14&amp;D - GGZ / rev. AOR&amp;C&amp;14&amp;F - &amp;A&amp;R&amp;14&amp;P/&amp;N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D393"/>
  <sheetViews>
    <sheetView showGridLines="0" tabSelected="1" zoomScale="85" zoomScaleNormal="85" zoomScaleSheetLayoutView="98" workbookViewId="0">
      <selection activeCell="B344" sqref="B344"/>
    </sheetView>
  </sheetViews>
  <sheetFormatPr baseColWidth="10" defaultRowHeight="11.25" x14ac:dyDescent="0.15"/>
  <cols>
    <col min="1" max="1" width="21.42578125" style="54" customWidth="1"/>
    <col min="2" max="2" width="34" style="55" customWidth="1"/>
    <col min="3" max="3" width="66.7109375" style="54" customWidth="1"/>
    <col min="4" max="4" width="34.85546875" style="56" customWidth="1"/>
    <col min="5" max="16384" width="11.42578125" style="56"/>
  </cols>
  <sheetData>
    <row r="1" spans="1:4" s="2" customFormat="1" ht="30" customHeight="1" thickTop="1" thickBot="1" x14ac:dyDescent="0.25">
      <c r="A1" s="43" t="s">
        <v>5</v>
      </c>
      <c r="B1" s="67">
        <v>42902</v>
      </c>
      <c r="C1" s="30"/>
      <c r="D1" s="31"/>
    </row>
    <row r="2" spans="1:4" s="2" customFormat="1" ht="30" customHeight="1" thickBot="1" x14ac:dyDescent="0.25">
      <c r="A2" s="42" t="s">
        <v>8</v>
      </c>
      <c r="B2" s="32" t="s">
        <v>86</v>
      </c>
      <c r="C2" s="44" t="s">
        <v>10</v>
      </c>
      <c r="D2" s="36" t="s">
        <v>9</v>
      </c>
    </row>
    <row r="3" spans="1:4" s="1" customFormat="1" ht="12.75" x14ac:dyDescent="0.15">
      <c r="A3" s="5" t="s">
        <v>31</v>
      </c>
      <c r="B3" s="6">
        <v>10</v>
      </c>
      <c r="C3" s="37"/>
      <c r="D3" s="40"/>
    </row>
    <row r="4" spans="1:4" s="1" customFormat="1" ht="12.75" x14ac:dyDescent="0.15">
      <c r="A4" s="7" t="s">
        <v>28</v>
      </c>
      <c r="B4" s="8">
        <v>4</v>
      </c>
      <c r="C4" s="38"/>
      <c r="D4" s="34"/>
    </row>
    <row r="5" spans="1:4" s="1" customFormat="1" ht="12.75" x14ac:dyDescent="0.15">
      <c r="A5" s="7"/>
      <c r="B5" s="8"/>
      <c r="C5" s="38"/>
      <c r="D5" s="34"/>
    </row>
    <row r="6" spans="1:4" s="1" customFormat="1" ht="12.75" x14ac:dyDescent="0.15">
      <c r="A6" s="7"/>
      <c r="B6" s="8"/>
      <c r="C6" s="45"/>
      <c r="D6" s="34"/>
    </row>
    <row r="7" spans="1:4" s="1" customFormat="1" ht="13.5" customHeight="1" x14ac:dyDescent="0.15">
      <c r="A7" s="7"/>
      <c r="B7" s="8"/>
      <c r="C7" s="38"/>
      <c r="D7" s="34"/>
    </row>
    <row r="8" spans="1:4" s="1" customFormat="1" ht="12.75" x14ac:dyDescent="0.15">
      <c r="A8" s="7"/>
      <c r="B8" s="8"/>
      <c r="C8" s="38"/>
      <c r="D8" s="34"/>
    </row>
    <row r="9" spans="1:4" s="1" customFormat="1" ht="12.75" x14ac:dyDescent="0.15">
      <c r="A9" s="7"/>
      <c r="B9" s="8"/>
      <c r="C9" s="38"/>
      <c r="D9" s="34"/>
    </row>
    <row r="10" spans="1:4" s="1" customFormat="1" ht="12.75" x14ac:dyDescent="0.15">
      <c r="A10" s="7"/>
      <c r="B10" s="8"/>
      <c r="C10" s="38"/>
      <c r="D10" s="34"/>
    </row>
    <row r="11" spans="1:4" s="1" customFormat="1" ht="12.75" x14ac:dyDescent="0.15">
      <c r="A11" s="7"/>
      <c r="B11" s="8"/>
      <c r="C11" s="38"/>
      <c r="D11" s="34"/>
    </row>
    <row r="12" spans="1:4" s="1" customFormat="1" ht="13.5" thickBot="1" x14ac:dyDescent="0.2">
      <c r="A12" s="9"/>
      <c r="B12" s="10"/>
      <c r="C12" s="39"/>
      <c r="D12" s="35"/>
    </row>
    <row r="13" spans="1:4" s="1" customFormat="1" ht="13.5" thickBot="1" x14ac:dyDescent="0.2">
      <c r="A13" s="49" t="s">
        <v>11</v>
      </c>
      <c r="B13" s="50">
        <f>SUM(B3:B12)</f>
        <v>14</v>
      </c>
      <c r="C13" s="51"/>
      <c r="D13" s="52"/>
    </row>
    <row r="14" spans="1:4" s="33" customFormat="1" ht="12.75" thickTop="1" thickBot="1" x14ac:dyDescent="0.2">
      <c r="A14" s="4"/>
      <c r="B14" s="4"/>
      <c r="C14" s="4"/>
    </row>
    <row r="15" spans="1:4" s="2" customFormat="1" ht="30" customHeight="1" thickTop="1" thickBot="1" x14ac:dyDescent="0.25">
      <c r="A15" s="43" t="s">
        <v>5</v>
      </c>
      <c r="B15" s="67">
        <v>42895</v>
      </c>
      <c r="C15" s="30"/>
      <c r="D15" s="31"/>
    </row>
    <row r="16" spans="1:4" s="2" customFormat="1" ht="30" customHeight="1" thickBot="1" x14ac:dyDescent="0.25">
      <c r="A16" s="42" t="s">
        <v>8</v>
      </c>
      <c r="B16" s="32" t="s">
        <v>86</v>
      </c>
      <c r="C16" s="44" t="s">
        <v>10</v>
      </c>
      <c r="D16" s="36" t="s">
        <v>9</v>
      </c>
    </row>
    <row r="17" spans="1:4" s="1" customFormat="1" ht="12.75" x14ac:dyDescent="0.15">
      <c r="A17" s="5" t="s">
        <v>29</v>
      </c>
      <c r="B17" s="6">
        <v>4</v>
      </c>
      <c r="C17" s="37" t="s">
        <v>81</v>
      </c>
      <c r="D17" s="40"/>
    </row>
    <row r="18" spans="1:4" s="1" customFormat="1" ht="12.75" x14ac:dyDescent="0.15">
      <c r="A18" s="7" t="s">
        <v>28</v>
      </c>
      <c r="B18" s="8">
        <v>4</v>
      </c>
      <c r="C18" s="38" t="s">
        <v>82</v>
      </c>
      <c r="D18" s="34"/>
    </row>
    <row r="19" spans="1:4" s="1" customFormat="1" ht="12.75" x14ac:dyDescent="0.15">
      <c r="A19" s="7" t="s">
        <v>29</v>
      </c>
      <c r="B19" s="8">
        <v>1</v>
      </c>
      <c r="C19" s="38" t="s">
        <v>83</v>
      </c>
      <c r="D19" s="34"/>
    </row>
    <row r="20" spans="1:4" s="1" customFormat="1" ht="12.75" x14ac:dyDescent="0.15">
      <c r="A20" s="7"/>
      <c r="B20" s="8"/>
      <c r="C20" s="45"/>
      <c r="D20" s="34"/>
    </row>
    <row r="21" spans="1:4" s="1" customFormat="1" ht="13.5" customHeight="1" x14ac:dyDescent="0.15">
      <c r="A21" s="7"/>
      <c r="B21" s="8"/>
      <c r="C21" s="38"/>
      <c r="D21" s="34"/>
    </row>
    <row r="22" spans="1:4" s="1" customFormat="1" ht="12.75" x14ac:dyDescent="0.15">
      <c r="A22" s="7"/>
      <c r="B22" s="8"/>
      <c r="C22" s="38"/>
      <c r="D22" s="34"/>
    </row>
    <row r="23" spans="1:4" s="1" customFormat="1" ht="12.75" x14ac:dyDescent="0.15">
      <c r="A23" s="7"/>
      <c r="B23" s="8"/>
      <c r="C23" s="38"/>
      <c r="D23" s="34"/>
    </row>
    <row r="24" spans="1:4" s="1" customFormat="1" ht="12.75" x14ac:dyDescent="0.15">
      <c r="A24" s="7"/>
      <c r="B24" s="8"/>
      <c r="C24" s="38"/>
      <c r="D24" s="34"/>
    </row>
    <row r="25" spans="1:4" s="1" customFormat="1" ht="12.75" x14ac:dyDescent="0.15">
      <c r="A25" s="7"/>
      <c r="B25" s="8"/>
      <c r="C25" s="38"/>
      <c r="D25" s="34"/>
    </row>
    <row r="26" spans="1:4" s="1" customFormat="1" ht="13.5" thickBot="1" x14ac:dyDescent="0.2">
      <c r="A26" s="9"/>
      <c r="B26" s="10"/>
      <c r="C26" s="39"/>
      <c r="D26" s="35"/>
    </row>
    <row r="27" spans="1:4" s="1" customFormat="1" ht="13.5" thickBot="1" x14ac:dyDescent="0.2">
      <c r="A27" s="49" t="s">
        <v>11</v>
      </c>
      <c r="B27" s="50">
        <f>SUM(B17:B26)</f>
        <v>9</v>
      </c>
      <c r="C27" s="51"/>
      <c r="D27" s="52"/>
    </row>
    <row r="28" spans="1:4" s="33" customFormat="1" ht="12.75" thickTop="1" thickBot="1" x14ac:dyDescent="0.2">
      <c r="A28" s="4"/>
      <c r="B28" s="4"/>
      <c r="C28" s="4"/>
    </row>
    <row r="29" spans="1:4" s="2" customFormat="1" ht="30" customHeight="1" thickTop="1" thickBot="1" x14ac:dyDescent="0.25">
      <c r="A29" s="43" t="s">
        <v>5</v>
      </c>
      <c r="B29" s="67">
        <v>42888</v>
      </c>
      <c r="C29" s="30"/>
      <c r="D29" s="31"/>
    </row>
    <row r="30" spans="1:4" s="2" customFormat="1" ht="30" customHeight="1" thickBot="1" x14ac:dyDescent="0.25">
      <c r="A30" s="42" t="s">
        <v>8</v>
      </c>
      <c r="B30" s="32" t="s">
        <v>86</v>
      </c>
      <c r="C30" s="44" t="s">
        <v>10</v>
      </c>
      <c r="D30" s="36" t="s">
        <v>9</v>
      </c>
    </row>
    <row r="31" spans="1:4" s="1" customFormat="1" ht="12.75" x14ac:dyDescent="0.15">
      <c r="A31" s="5" t="s">
        <v>28</v>
      </c>
      <c r="B31" s="6">
        <v>8</v>
      </c>
      <c r="C31" s="37" t="s">
        <v>79</v>
      </c>
      <c r="D31" s="40"/>
    </row>
    <row r="32" spans="1:4" s="1" customFormat="1" ht="12.75" x14ac:dyDescent="0.15">
      <c r="A32" s="7" t="s">
        <v>29</v>
      </c>
      <c r="B32" s="8">
        <v>3</v>
      </c>
      <c r="C32" s="38" t="s">
        <v>80</v>
      </c>
      <c r="D32" s="34"/>
    </row>
    <row r="33" spans="1:4" s="1" customFormat="1" ht="12.75" x14ac:dyDescent="0.15">
      <c r="A33" s="7"/>
      <c r="B33" s="8"/>
      <c r="C33" s="38"/>
      <c r="D33" s="34"/>
    </row>
    <row r="34" spans="1:4" s="1" customFormat="1" ht="12.75" x14ac:dyDescent="0.15">
      <c r="A34" s="7"/>
      <c r="B34" s="8"/>
      <c r="C34" s="45"/>
      <c r="D34" s="34"/>
    </row>
    <row r="35" spans="1:4" s="1" customFormat="1" ht="13.5" customHeight="1" x14ac:dyDescent="0.15">
      <c r="A35" s="7"/>
      <c r="B35" s="8"/>
      <c r="C35" s="38"/>
      <c r="D35" s="34"/>
    </row>
    <row r="36" spans="1:4" s="1" customFormat="1" ht="12.75" x14ac:dyDescent="0.15">
      <c r="A36" s="7"/>
      <c r="B36" s="8"/>
      <c r="C36" s="38"/>
      <c r="D36" s="34"/>
    </row>
    <row r="37" spans="1:4" s="1" customFormat="1" ht="12.75" x14ac:dyDescent="0.15">
      <c r="A37" s="7"/>
      <c r="B37" s="8"/>
      <c r="C37" s="38"/>
      <c r="D37" s="34"/>
    </row>
    <row r="38" spans="1:4" s="1" customFormat="1" ht="12.75" x14ac:dyDescent="0.15">
      <c r="A38" s="7"/>
      <c r="B38" s="8"/>
      <c r="C38" s="38"/>
      <c r="D38" s="34"/>
    </row>
    <row r="39" spans="1:4" s="1" customFormat="1" ht="12.75" x14ac:dyDescent="0.15">
      <c r="A39" s="7"/>
      <c r="B39" s="8"/>
      <c r="C39" s="38"/>
      <c r="D39" s="34"/>
    </row>
    <row r="40" spans="1:4" s="1" customFormat="1" ht="13.5" thickBot="1" x14ac:dyDescent="0.2">
      <c r="A40" s="9"/>
      <c r="B40" s="10"/>
      <c r="C40" s="39"/>
      <c r="D40" s="35"/>
    </row>
    <row r="41" spans="1:4" s="1" customFormat="1" ht="13.5" thickBot="1" x14ac:dyDescent="0.2">
      <c r="A41" s="49" t="s">
        <v>11</v>
      </c>
      <c r="B41" s="50">
        <f>SUM(B31:B40)</f>
        <v>11</v>
      </c>
      <c r="C41" s="51"/>
      <c r="D41" s="52"/>
    </row>
    <row r="42" spans="1:4" s="33" customFormat="1" ht="12.75" thickTop="1" thickBot="1" x14ac:dyDescent="0.2">
      <c r="A42" s="4"/>
      <c r="B42" s="4"/>
      <c r="C42" s="4"/>
    </row>
    <row r="43" spans="1:4" s="2" customFormat="1" ht="30" customHeight="1" thickTop="1" thickBot="1" x14ac:dyDescent="0.25">
      <c r="A43" s="43" t="s">
        <v>5</v>
      </c>
      <c r="B43" s="67">
        <v>42881</v>
      </c>
      <c r="C43" s="30"/>
      <c r="D43" s="31"/>
    </row>
    <row r="44" spans="1:4" s="2" customFormat="1" ht="30" customHeight="1" thickBot="1" x14ac:dyDescent="0.25">
      <c r="A44" s="42" t="s">
        <v>8</v>
      </c>
      <c r="B44" s="32" t="s">
        <v>86</v>
      </c>
      <c r="C44" s="44" t="s">
        <v>10</v>
      </c>
      <c r="D44" s="36" t="s">
        <v>9</v>
      </c>
    </row>
    <row r="45" spans="1:4" s="1" customFormat="1" ht="12.75" x14ac:dyDescent="0.15">
      <c r="A45" s="5" t="s">
        <v>28</v>
      </c>
      <c r="B45" s="6">
        <v>10</v>
      </c>
      <c r="C45" s="37" t="s">
        <v>78</v>
      </c>
      <c r="D45" s="40"/>
    </row>
    <row r="46" spans="1:4" s="1" customFormat="1" ht="12.75" x14ac:dyDescent="0.15">
      <c r="A46" s="7"/>
      <c r="B46" s="8"/>
      <c r="C46" s="38"/>
      <c r="D46" s="34"/>
    </row>
    <row r="47" spans="1:4" s="1" customFormat="1" ht="12.75" x14ac:dyDescent="0.15">
      <c r="A47" s="7"/>
      <c r="B47" s="8"/>
      <c r="C47" s="38"/>
      <c r="D47" s="34"/>
    </row>
    <row r="48" spans="1:4" s="1" customFormat="1" ht="12.75" x14ac:dyDescent="0.15">
      <c r="A48" s="7"/>
      <c r="B48" s="8"/>
      <c r="C48" s="45"/>
      <c r="D48" s="34"/>
    </row>
    <row r="49" spans="1:4" s="1" customFormat="1" ht="13.5" customHeight="1" x14ac:dyDescent="0.15">
      <c r="A49" s="7"/>
      <c r="B49" s="8"/>
      <c r="C49" s="38"/>
      <c r="D49" s="34"/>
    </row>
    <row r="50" spans="1:4" s="1" customFormat="1" ht="12.75" x14ac:dyDescent="0.15">
      <c r="A50" s="7"/>
      <c r="B50" s="8"/>
      <c r="C50" s="38"/>
      <c r="D50" s="34"/>
    </row>
    <row r="51" spans="1:4" s="1" customFormat="1" ht="12.75" x14ac:dyDescent="0.15">
      <c r="A51" s="7"/>
      <c r="B51" s="8"/>
      <c r="C51" s="38"/>
      <c r="D51" s="34"/>
    </row>
    <row r="52" spans="1:4" s="1" customFormat="1" ht="12.75" x14ac:dyDescent="0.15">
      <c r="A52" s="7"/>
      <c r="B52" s="8"/>
      <c r="C52" s="38"/>
      <c r="D52" s="34"/>
    </row>
    <row r="53" spans="1:4" s="1" customFormat="1" ht="12.75" x14ac:dyDescent="0.15">
      <c r="A53" s="7"/>
      <c r="B53" s="8"/>
      <c r="C53" s="38"/>
      <c r="D53" s="34"/>
    </row>
    <row r="54" spans="1:4" s="1" customFormat="1" ht="13.5" thickBot="1" x14ac:dyDescent="0.2">
      <c r="A54" s="9"/>
      <c r="B54" s="10"/>
      <c r="C54" s="39"/>
      <c r="D54" s="35"/>
    </row>
    <row r="55" spans="1:4" s="1" customFormat="1" ht="13.5" thickBot="1" x14ac:dyDescent="0.2">
      <c r="A55" s="49" t="s">
        <v>11</v>
      </c>
      <c r="B55" s="50">
        <f>SUM(B45:B54)</f>
        <v>10</v>
      </c>
      <c r="C55" s="51"/>
      <c r="D55" s="52"/>
    </row>
    <row r="56" spans="1:4" s="33" customFormat="1" ht="12.75" thickTop="1" thickBot="1" x14ac:dyDescent="0.2">
      <c r="A56" s="4"/>
      <c r="B56" s="4"/>
      <c r="C56" s="4"/>
    </row>
    <row r="57" spans="1:4" s="2" customFormat="1" ht="30" customHeight="1" thickTop="1" thickBot="1" x14ac:dyDescent="0.25">
      <c r="A57" s="43" t="s">
        <v>5</v>
      </c>
      <c r="B57" s="67">
        <v>42874</v>
      </c>
      <c r="C57" s="30"/>
      <c r="D57" s="31"/>
    </row>
    <row r="58" spans="1:4" s="2" customFormat="1" ht="30" customHeight="1" thickBot="1" x14ac:dyDescent="0.25">
      <c r="A58" s="42" t="s">
        <v>8</v>
      </c>
      <c r="B58" s="32" t="s">
        <v>86</v>
      </c>
      <c r="C58" s="44" t="s">
        <v>10</v>
      </c>
      <c r="D58" s="36" t="s">
        <v>9</v>
      </c>
    </row>
    <row r="59" spans="1:4" s="1" customFormat="1" ht="12.75" x14ac:dyDescent="0.15">
      <c r="A59" s="5" t="s">
        <v>28</v>
      </c>
      <c r="B59" s="6">
        <v>10</v>
      </c>
      <c r="C59" s="37" t="s">
        <v>77</v>
      </c>
      <c r="D59" s="40"/>
    </row>
    <row r="60" spans="1:4" s="1" customFormat="1" ht="12.75" x14ac:dyDescent="0.15">
      <c r="A60" s="7"/>
      <c r="B60" s="8"/>
      <c r="C60" s="38"/>
      <c r="D60" s="34"/>
    </row>
    <row r="61" spans="1:4" s="1" customFormat="1" ht="12.75" x14ac:dyDescent="0.15">
      <c r="A61" s="7"/>
      <c r="B61" s="8"/>
      <c r="C61" s="38"/>
      <c r="D61" s="34"/>
    </row>
    <row r="62" spans="1:4" s="1" customFormat="1" ht="12.75" x14ac:dyDescent="0.15">
      <c r="A62" s="7"/>
      <c r="B62" s="8"/>
      <c r="C62" s="45"/>
      <c r="D62" s="34"/>
    </row>
    <row r="63" spans="1:4" s="1" customFormat="1" ht="13.5" customHeight="1" x14ac:dyDescent="0.15">
      <c r="A63" s="7"/>
      <c r="B63" s="8"/>
      <c r="C63" s="38"/>
      <c r="D63" s="34"/>
    </row>
    <row r="64" spans="1:4" s="1" customFormat="1" ht="12.75" x14ac:dyDescent="0.15">
      <c r="A64" s="7"/>
      <c r="B64" s="8"/>
      <c r="C64" s="38"/>
      <c r="D64" s="34"/>
    </row>
    <row r="65" spans="1:4" s="1" customFormat="1" ht="12.75" x14ac:dyDescent="0.15">
      <c r="A65" s="7"/>
      <c r="B65" s="8"/>
      <c r="C65" s="38"/>
      <c r="D65" s="34"/>
    </row>
    <row r="66" spans="1:4" s="1" customFormat="1" ht="12.75" x14ac:dyDescent="0.15">
      <c r="A66" s="7"/>
      <c r="B66" s="8"/>
      <c r="C66" s="38"/>
      <c r="D66" s="34"/>
    </row>
    <row r="67" spans="1:4" s="1" customFormat="1" ht="12.75" x14ac:dyDescent="0.15">
      <c r="A67" s="7"/>
      <c r="B67" s="8"/>
      <c r="C67" s="38"/>
      <c r="D67" s="34"/>
    </row>
    <row r="68" spans="1:4" s="1" customFormat="1" ht="13.5" thickBot="1" x14ac:dyDescent="0.2">
      <c r="A68" s="9"/>
      <c r="B68" s="10"/>
      <c r="C68" s="39"/>
      <c r="D68" s="35"/>
    </row>
    <row r="69" spans="1:4" s="1" customFormat="1" ht="13.5" thickBot="1" x14ac:dyDescent="0.2">
      <c r="A69" s="49" t="s">
        <v>11</v>
      </c>
      <c r="B69" s="50">
        <f>SUM(B59:B68)</f>
        <v>10</v>
      </c>
      <c r="C69" s="51"/>
      <c r="D69" s="52"/>
    </row>
    <row r="70" spans="1:4" s="33" customFormat="1" ht="12.75" thickTop="1" thickBot="1" x14ac:dyDescent="0.2">
      <c r="A70" s="4"/>
      <c r="B70" s="4"/>
      <c r="C70" s="4"/>
    </row>
    <row r="71" spans="1:4" s="2" customFormat="1" ht="30" customHeight="1" thickTop="1" thickBot="1" x14ac:dyDescent="0.25">
      <c r="A71" s="43" t="s">
        <v>5</v>
      </c>
      <c r="B71" s="67">
        <v>42867</v>
      </c>
      <c r="C71" s="30"/>
      <c r="D71" s="31"/>
    </row>
    <row r="72" spans="1:4" s="2" customFormat="1" ht="30" customHeight="1" thickBot="1" x14ac:dyDescent="0.25">
      <c r="A72" s="42" t="s">
        <v>8</v>
      </c>
      <c r="B72" s="32" t="s">
        <v>86</v>
      </c>
      <c r="C72" s="44" t="s">
        <v>10</v>
      </c>
      <c r="D72" s="36" t="s">
        <v>9</v>
      </c>
    </row>
    <row r="73" spans="1:4" s="1" customFormat="1" ht="12.75" x14ac:dyDescent="0.15">
      <c r="A73" s="5" t="s">
        <v>28</v>
      </c>
      <c r="B73" s="6">
        <v>10</v>
      </c>
      <c r="C73" s="37" t="s">
        <v>77</v>
      </c>
      <c r="D73" s="40"/>
    </row>
    <row r="74" spans="1:4" s="1" customFormat="1" ht="12.75" x14ac:dyDescent="0.15">
      <c r="A74" s="7"/>
      <c r="B74" s="8"/>
      <c r="C74" s="38"/>
      <c r="D74" s="34"/>
    </row>
    <row r="75" spans="1:4" s="1" customFormat="1" ht="12.75" x14ac:dyDescent="0.15">
      <c r="A75" s="7"/>
      <c r="B75" s="8"/>
      <c r="C75" s="38"/>
      <c r="D75" s="34"/>
    </row>
    <row r="76" spans="1:4" s="1" customFormat="1" ht="12.75" x14ac:dyDescent="0.15">
      <c r="A76" s="7"/>
      <c r="B76" s="8"/>
      <c r="C76" s="45"/>
      <c r="D76" s="34"/>
    </row>
    <row r="77" spans="1:4" s="1" customFormat="1" ht="13.5" customHeight="1" x14ac:dyDescent="0.15">
      <c r="A77" s="7"/>
      <c r="B77" s="8"/>
      <c r="C77" s="38"/>
      <c r="D77" s="34"/>
    </row>
    <row r="78" spans="1:4" s="1" customFormat="1" ht="12.75" x14ac:dyDescent="0.15">
      <c r="A78" s="7"/>
      <c r="B78" s="8"/>
      <c r="C78" s="38"/>
      <c r="D78" s="34"/>
    </row>
    <row r="79" spans="1:4" s="1" customFormat="1" ht="12.75" x14ac:dyDescent="0.15">
      <c r="A79" s="7"/>
      <c r="B79" s="8"/>
      <c r="C79" s="38"/>
      <c r="D79" s="34"/>
    </row>
    <row r="80" spans="1:4" s="1" customFormat="1" ht="12.75" x14ac:dyDescent="0.15">
      <c r="A80" s="7"/>
      <c r="B80" s="8"/>
      <c r="C80" s="38"/>
      <c r="D80" s="34"/>
    </row>
    <row r="81" spans="1:4" s="1" customFormat="1" ht="12.75" x14ac:dyDescent="0.15">
      <c r="A81" s="7"/>
      <c r="B81" s="8"/>
      <c r="C81" s="38"/>
      <c r="D81" s="34"/>
    </row>
    <row r="82" spans="1:4" s="1" customFormat="1" ht="13.5" thickBot="1" x14ac:dyDescent="0.2">
      <c r="A82" s="9"/>
      <c r="B82" s="10"/>
      <c r="C82" s="39"/>
      <c r="D82" s="35"/>
    </row>
    <row r="83" spans="1:4" s="1" customFormat="1" ht="13.5" thickBot="1" x14ac:dyDescent="0.2">
      <c r="A83" s="49" t="s">
        <v>11</v>
      </c>
      <c r="B83" s="50">
        <f>SUM(B73:B82)</f>
        <v>10</v>
      </c>
      <c r="C83" s="51"/>
      <c r="D83" s="52"/>
    </row>
    <row r="84" spans="1:4" s="33" customFormat="1" ht="12.75" thickTop="1" thickBot="1" x14ac:dyDescent="0.2">
      <c r="A84" s="4"/>
      <c r="B84" s="4"/>
      <c r="C84" s="4"/>
    </row>
    <row r="85" spans="1:4" s="2" customFormat="1" ht="30" customHeight="1" thickTop="1" thickBot="1" x14ac:dyDescent="0.25">
      <c r="A85" s="43" t="s">
        <v>5</v>
      </c>
      <c r="B85" s="67">
        <v>42860</v>
      </c>
      <c r="C85" s="30"/>
      <c r="D85" s="31"/>
    </row>
    <row r="86" spans="1:4" s="2" customFormat="1" ht="30" customHeight="1" thickBot="1" x14ac:dyDescent="0.25">
      <c r="A86" s="42" t="s">
        <v>8</v>
      </c>
      <c r="B86" s="32" t="s">
        <v>86</v>
      </c>
      <c r="C86" s="44" t="s">
        <v>10</v>
      </c>
      <c r="D86" s="36" t="s">
        <v>9</v>
      </c>
    </row>
    <row r="87" spans="1:4" s="1" customFormat="1" ht="12.75" x14ac:dyDescent="0.15">
      <c r="A87" s="5" t="s">
        <v>28</v>
      </c>
      <c r="B87" s="6">
        <v>10</v>
      </c>
      <c r="C87" s="37" t="s">
        <v>76</v>
      </c>
      <c r="D87" s="40"/>
    </row>
    <row r="88" spans="1:4" s="1" customFormat="1" ht="12.75" x14ac:dyDescent="0.15">
      <c r="A88" s="7"/>
      <c r="B88" s="8"/>
      <c r="C88" s="38"/>
      <c r="D88" s="34"/>
    </row>
    <row r="89" spans="1:4" s="1" customFormat="1" ht="12.75" x14ac:dyDescent="0.15">
      <c r="A89" s="7"/>
      <c r="B89" s="8"/>
      <c r="C89" s="38"/>
      <c r="D89" s="34"/>
    </row>
    <row r="90" spans="1:4" s="1" customFormat="1" ht="12.75" x14ac:dyDescent="0.15">
      <c r="A90" s="7"/>
      <c r="B90" s="8"/>
      <c r="C90" s="45"/>
      <c r="D90" s="34"/>
    </row>
    <row r="91" spans="1:4" s="1" customFormat="1" ht="13.5" customHeight="1" x14ac:dyDescent="0.15">
      <c r="A91" s="7"/>
      <c r="B91" s="8"/>
      <c r="C91" s="38"/>
      <c r="D91" s="34"/>
    </row>
    <row r="92" spans="1:4" s="1" customFormat="1" ht="12.75" x14ac:dyDescent="0.15">
      <c r="A92" s="7"/>
      <c r="B92" s="8"/>
      <c r="C92" s="38"/>
      <c r="D92" s="34"/>
    </row>
    <row r="93" spans="1:4" s="1" customFormat="1" ht="12.75" x14ac:dyDescent="0.15">
      <c r="A93" s="7"/>
      <c r="B93" s="8"/>
      <c r="C93" s="38"/>
      <c r="D93" s="34"/>
    </row>
    <row r="94" spans="1:4" s="1" customFormat="1" ht="12.75" x14ac:dyDescent="0.15">
      <c r="A94" s="7"/>
      <c r="B94" s="8"/>
      <c r="C94" s="38"/>
      <c r="D94" s="34"/>
    </row>
    <row r="95" spans="1:4" s="1" customFormat="1" ht="12.75" x14ac:dyDescent="0.15">
      <c r="A95" s="7"/>
      <c r="B95" s="8"/>
      <c r="C95" s="38"/>
      <c r="D95" s="34"/>
    </row>
    <row r="96" spans="1:4" s="1" customFormat="1" ht="13.5" thickBot="1" x14ac:dyDescent="0.2">
      <c r="A96" s="9"/>
      <c r="B96" s="10"/>
      <c r="C96" s="39"/>
      <c r="D96" s="35"/>
    </row>
    <row r="97" spans="1:4" s="1" customFormat="1" ht="13.5" thickBot="1" x14ac:dyDescent="0.2">
      <c r="A97" s="49" t="s">
        <v>11</v>
      </c>
      <c r="B97" s="50">
        <f>SUM(B87:B96)</f>
        <v>10</v>
      </c>
      <c r="C97" s="51"/>
      <c r="D97" s="52"/>
    </row>
    <row r="98" spans="1:4" s="33" customFormat="1" ht="12.75" thickTop="1" thickBot="1" x14ac:dyDescent="0.2">
      <c r="A98" s="4"/>
      <c r="B98" s="4"/>
      <c r="C98" s="4"/>
    </row>
    <row r="99" spans="1:4" s="2" customFormat="1" ht="30" customHeight="1" thickTop="1" thickBot="1" x14ac:dyDescent="0.25">
      <c r="A99" s="43" t="s">
        <v>5</v>
      </c>
      <c r="B99" s="67">
        <v>42853</v>
      </c>
      <c r="C99" s="30"/>
      <c r="D99" s="31"/>
    </row>
    <row r="100" spans="1:4" s="2" customFormat="1" ht="30" customHeight="1" thickBot="1" x14ac:dyDescent="0.25">
      <c r="A100" s="42" t="s">
        <v>8</v>
      </c>
      <c r="B100" s="32" t="s">
        <v>86</v>
      </c>
      <c r="C100" s="44" t="s">
        <v>10</v>
      </c>
      <c r="D100" s="36" t="s">
        <v>9</v>
      </c>
    </row>
    <row r="101" spans="1:4" s="1" customFormat="1" ht="12.75" x14ac:dyDescent="0.15">
      <c r="A101" s="5" t="s">
        <v>28</v>
      </c>
      <c r="B101" s="6">
        <v>8</v>
      </c>
      <c r="C101" s="37" t="s">
        <v>75</v>
      </c>
      <c r="D101" s="40"/>
    </row>
    <row r="102" spans="1:4" s="1" customFormat="1" ht="12.75" x14ac:dyDescent="0.15">
      <c r="A102" s="7"/>
      <c r="B102" s="8"/>
      <c r="C102" s="38"/>
      <c r="D102" s="34"/>
    </row>
    <row r="103" spans="1:4" s="1" customFormat="1" ht="12.75" x14ac:dyDescent="0.15">
      <c r="A103" s="7"/>
      <c r="B103" s="8"/>
      <c r="C103" s="38"/>
      <c r="D103" s="34"/>
    </row>
    <row r="104" spans="1:4" s="1" customFormat="1" ht="12.75" x14ac:dyDescent="0.15">
      <c r="A104" s="7"/>
      <c r="B104" s="8"/>
      <c r="C104" s="45"/>
      <c r="D104" s="34"/>
    </row>
    <row r="105" spans="1:4" s="1" customFormat="1" ht="13.5" customHeight="1" x14ac:dyDescent="0.15">
      <c r="A105" s="7"/>
      <c r="B105" s="8"/>
      <c r="C105" s="38"/>
      <c r="D105" s="34"/>
    </row>
    <row r="106" spans="1:4" s="1" customFormat="1" ht="12.75" x14ac:dyDescent="0.15">
      <c r="A106" s="7"/>
      <c r="B106" s="8"/>
      <c r="C106" s="38"/>
      <c r="D106" s="34"/>
    </row>
    <row r="107" spans="1:4" s="1" customFormat="1" ht="12.75" x14ac:dyDescent="0.15">
      <c r="A107" s="7"/>
      <c r="B107" s="8"/>
      <c r="C107" s="38"/>
      <c r="D107" s="34"/>
    </row>
    <row r="108" spans="1:4" s="1" customFormat="1" ht="12.75" x14ac:dyDescent="0.15">
      <c r="A108" s="7"/>
      <c r="B108" s="8"/>
      <c r="C108" s="38"/>
      <c r="D108" s="34"/>
    </row>
    <row r="109" spans="1:4" s="1" customFormat="1" ht="12.75" x14ac:dyDescent="0.15">
      <c r="A109" s="7"/>
      <c r="B109" s="8"/>
      <c r="C109" s="38"/>
      <c r="D109" s="34"/>
    </row>
    <row r="110" spans="1:4" s="1" customFormat="1" ht="13.5" thickBot="1" x14ac:dyDescent="0.2">
      <c r="A110" s="9"/>
      <c r="B110" s="10"/>
      <c r="C110" s="39"/>
      <c r="D110" s="35"/>
    </row>
    <row r="111" spans="1:4" s="1" customFormat="1" ht="13.5" thickBot="1" x14ac:dyDescent="0.2">
      <c r="A111" s="49" t="s">
        <v>11</v>
      </c>
      <c r="B111" s="50">
        <f>SUM(B101:B110)</f>
        <v>8</v>
      </c>
      <c r="C111" s="51"/>
      <c r="D111" s="52"/>
    </row>
    <row r="112" spans="1:4" s="33" customFormat="1" ht="12.75" thickTop="1" thickBot="1" x14ac:dyDescent="0.2">
      <c r="A112" s="4"/>
      <c r="B112" s="4"/>
      <c r="C112" s="4"/>
    </row>
    <row r="113" spans="1:4" s="2" customFormat="1" ht="30" customHeight="1" thickTop="1" thickBot="1" x14ac:dyDescent="0.25">
      <c r="A113" s="43" t="s">
        <v>5</v>
      </c>
      <c r="B113" s="67">
        <v>42846</v>
      </c>
      <c r="C113" s="30"/>
      <c r="D113" s="31"/>
    </row>
    <row r="114" spans="1:4" s="2" customFormat="1" ht="30" customHeight="1" thickBot="1" x14ac:dyDescent="0.25">
      <c r="A114" s="42" t="s">
        <v>8</v>
      </c>
      <c r="B114" s="32" t="s">
        <v>86</v>
      </c>
      <c r="C114" s="44" t="s">
        <v>10</v>
      </c>
      <c r="D114" s="36" t="s">
        <v>9</v>
      </c>
    </row>
    <row r="115" spans="1:4" s="1" customFormat="1" ht="12.75" x14ac:dyDescent="0.15">
      <c r="A115" s="5" t="s">
        <v>29</v>
      </c>
      <c r="B115" s="6">
        <v>8</v>
      </c>
      <c r="C115" s="37" t="s">
        <v>72</v>
      </c>
      <c r="D115" s="40" t="s">
        <v>73</v>
      </c>
    </row>
    <row r="116" spans="1:4" s="1" customFormat="1" ht="12.75" x14ac:dyDescent="0.15">
      <c r="A116" s="7"/>
      <c r="B116" s="8"/>
      <c r="C116" s="38"/>
      <c r="D116" s="34"/>
    </row>
    <row r="117" spans="1:4" s="1" customFormat="1" ht="12.75" x14ac:dyDescent="0.15">
      <c r="A117" s="7"/>
      <c r="B117" s="8"/>
      <c r="C117" s="38"/>
      <c r="D117" s="34"/>
    </row>
    <row r="118" spans="1:4" s="1" customFormat="1" ht="12.75" x14ac:dyDescent="0.15">
      <c r="A118" s="7"/>
      <c r="B118" s="8"/>
      <c r="C118" s="45"/>
      <c r="D118" s="34"/>
    </row>
    <row r="119" spans="1:4" s="1" customFormat="1" ht="13.5" customHeight="1" x14ac:dyDescent="0.15">
      <c r="A119" s="7"/>
      <c r="B119" s="8"/>
      <c r="C119" s="38"/>
      <c r="D119" s="34"/>
    </row>
    <row r="120" spans="1:4" s="1" customFormat="1" ht="12.75" x14ac:dyDescent="0.15">
      <c r="A120" s="7"/>
      <c r="B120" s="8"/>
      <c r="C120" s="38"/>
      <c r="D120" s="34"/>
    </row>
    <row r="121" spans="1:4" s="1" customFormat="1" ht="12.75" x14ac:dyDescent="0.15">
      <c r="A121" s="7"/>
      <c r="B121" s="8"/>
      <c r="C121" s="38"/>
      <c r="D121" s="34"/>
    </row>
    <row r="122" spans="1:4" s="1" customFormat="1" ht="12.75" x14ac:dyDescent="0.15">
      <c r="A122" s="7"/>
      <c r="B122" s="8"/>
      <c r="C122" s="38"/>
      <c r="D122" s="34"/>
    </row>
    <row r="123" spans="1:4" s="1" customFormat="1" ht="12.75" x14ac:dyDescent="0.15">
      <c r="A123" s="7"/>
      <c r="B123" s="8"/>
      <c r="C123" s="38"/>
      <c r="D123" s="34"/>
    </row>
    <row r="124" spans="1:4" s="1" customFormat="1" ht="13.5" thickBot="1" x14ac:dyDescent="0.2">
      <c r="A124" s="9"/>
      <c r="B124" s="10"/>
      <c r="C124" s="39"/>
      <c r="D124" s="35"/>
    </row>
    <row r="125" spans="1:4" s="1" customFormat="1" ht="13.5" thickBot="1" x14ac:dyDescent="0.2">
      <c r="A125" s="49" t="s">
        <v>11</v>
      </c>
      <c r="B125" s="50">
        <f>SUM(B115:B124)</f>
        <v>8</v>
      </c>
      <c r="C125" s="51"/>
      <c r="D125" s="52"/>
    </row>
    <row r="126" spans="1:4" s="33" customFormat="1" ht="12.75" thickTop="1" thickBot="1" x14ac:dyDescent="0.2">
      <c r="A126" s="4"/>
      <c r="B126" s="4"/>
      <c r="C126" s="4"/>
    </row>
    <row r="127" spans="1:4" s="2" customFormat="1" ht="30" customHeight="1" thickTop="1" thickBot="1" x14ac:dyDescent="0.25">
      <c r="A127" s="43" t="s">
        <v>5</v>
      </c>
      <c r="B127" s="67">
        <v>42839</v>
      </c>
      <c r="C127" s="30"/>
      <c r="D127" s="31"/>
    </row>
    <row r="128" spans="1:4" s="2" customFormat="1" ht="30" customHeight="1" thickBot="1" x14ac:dyDescent="0.25">
      <c r="A128" s="42" t="s">
        <v>8</v>
      </c>
      <c r="B128" s="32" t="s">
        <v>86</v>
      </c>
      <c r="C128" s="44" t="s">
        <v>10</v>
      </c>
      <c r="D128" s="36" t="s">
        <v>9</v>
      </c>
    </row>
    <row r="129" spans="1:4" s="1" customFormat="1" ht="12.75" x14ac:dyDescent="0.15">
      <c r="A129" s="5" t="s">
        <v>27</v>
      </c>
      <c r="B129" s="6">
        <v>8</v>
      </c>
      <c r="C129" s="37" t="s">
        <v>74</v>
      </c>
      <c r="D129" s="40"/>
    </row>
    <row r="130" spans="1:4" s="1" customFormat="1" ht="12.75" x14ac:dyDescent="0.15">
      <c r="A130" s="7"/>
      <c r="B130" s="8"/>
      <c r="C130" s="38"/>
      <c r="D130" s="34"/>
    </row>
    <row r="131" spans="1:4" s="1" customFormat="1" ht="12.75" x14ac:dyDescent="0.15">
      <c r="A131" s="7"/>
      <c r="B131" s="8"/>
      <c r="C131" s="38"/>
      <c r="D131" s="34"/>
    </row>
    <row r="132" spans="1:4" s="1" customFormat="1" ht="12.75" x14ac:dyDescent="0.15">
      <c r="A132" s="7"/>
      <c r="B132" s="8"/>
      <c r="C132" s="45"/>
      <c r="D132" s="34"/>
    </row>
    <row r="133" spans="1:4" s="1" customFormat="1" ht="13.5" customHeight="1" x14ac:dyDescent="0.15">
      <c r="A133" s="7"/>
      <c r="B133" s="8"/>
      <c r="C133" s="38"/>
      <c r="D133" s="34"/>
    </row>
    <row r="134" spans="1:4" s="1" customFormat="1" ht="12.75" x14ac:dyDescent="0.15">
      <c r="A134" s="7"/>
      <c r="B134" s="8"/>
      <c r="C134" s="38"/>
      <c r="D134" s="34"/>
    </row>
    <row r="135" spans="1:4" s="1" customFormat="1" ht="12.75" x14ac:dyDescent="0.15">
      <c r="A135" s="7"/>
      <c r="B135" s="8"/>
      <c r="C135" s="38"/>
      <c r="D135" s="34"/>
    </row>
    <row r="136" spans="1:4" s="1" customFormat="1" ht="12.75" x14ac:dyDescent="0.15">
      <c r="A136" s="7"/>
      <c r="B136" s="8"/>
      <c r="C136" s="38"/>
      <c r="D136" s="34"/>
    </row>
    <row r="137" spans="1:4" s="1" customFormat="1" ht="12.75" x14ac:dyDescent="0.15">
      <c r="A137" s="7"/>
      <c r="B137" s="8"/>
      <c r="C137" s="38"/>
      <c r="D137" s="34"/>
    </row>
    <row r="138" spans="1:4" s="1" customFormat="1" ht="13.5" thickBot="1" x14ac:dyDescent="0.2">
      <c r="A138" s="9"/>
      <c r="B138" s="10"/>
      <c r="C138" s="39"/>
      <c r="D138" s="35"/>
    </row>
    <row r="139" spans="1:4" s="1" customFormat="1" ht="13.5" thickBot="1" x14ac:dyDescent="0.2">
      <c r="A139" s="49" t="s">
        <v>11</v>
      </c>
      <c r="B139" s="50">
        <f>SUM(B129:B138)</f>
        <v>8</v>
      </c>
      <c r="C139" s="51"/>
      <c r="D139" s="52"/>
    </row>
    <row r="140" spans="1:4" s="33" customFormat="1" ht="12.75" thickTop="1" thickBot="1" x14ac:dyDescent="0.2">
      <c r="A140" s="4"/>
      <c r="B140" s="4"/>
      <c r="C140" s="4"/>
    </row>
    <row r="141" spans="1:4" s="2" customFormat="1" ht="30" customHeight="1" thickTop="1" thickBot="1" x14ac:dyDescent="0.25">
      <c r="A141" s="43" t="s">
        <v>5</v>
      </c>
      <c r="B141" s="67">
        <v>42832</v>
      </c>
      <c r="C141" s="30"/>
      <c r="D141" s="31"/>
    </row>
    <row r="142" spans="1:4" s="2" customFormat="1" ht="30" customHeight="1" thickBot="1" x14ac:dyDescent="0.25">
      <c r="A142" s="42" t="s">
        <v>8</v>
      </c>
      <c r="B142" s="32" t="s">
        <v>86</v>
      </c>
      <c r="C142" s="44" t="s">
        <v>10</v>
      </c>
      <c r="D142" s="36" t="s">
        <v>9</v>
      </c>
    </row>
    <row r="143" spans="1:4" s="1" customFormat="1" ht="12.75" x14ac:dyDescent="0.15">
      <c r="A143" s="5" t="s">
        <v>27</v>
      </c>
      <c r="B143" s="6">
        <v>5</v>
      </c>
      <c r="C143" s="37" t="s">
        <v>69</v>
      </c>
      <c r="D143" s="40"/>
    </row>
    <row r="144" spans="1:4" s="1" customFormat="1" ht="12.75" x14ac:dyDescent="0.15">
      <c r="A144" s="7" t="s">
        <v>26</v>
      </c>
      <c r="B144" s="8">
        <v>2</v>
      </c>
      <c r="C144" s="38" t="s">
        <v>70</v>
      </c>
      <c r="D144" s="34"/>
    </row>
    <row r="145" spans="1:4" s="1" customFormat="1" ht="12.75" x14ac:dyDescent="0.15">
      <c r="A145" s="7" t="s">
        <v>26</v>
      </c>
      <c r="B145" s="8">
        <v>1</v>
      </c>
      <c r="C145" s="38" t="s">
        <v>71</v>
      </c>
      <c r="D145" s="34"/>
    </row>
    <row r="146" spans="1:4" s="1" customFormat="1" ht="12.75" x14ac:dyDescent="0.15">
      <c r="A146" s="7"/>
      <c r="B146" s="8"/>
      <c r="C146" s="45"/>
      <c r="D146" s="34"/>
    </row>
    <row r="147" spans="1:4" s="1" customFormat="1" ht="13.5" customHeight="1" x14ac:dyDescent="0.15">
      <c r="A147" s="7"/>
      <c r="B147" s="8"/>
      <c r="C147" s="38"/>
      <c r="D147" s="34"/>
    </row>
    <row r="148" spans="1:4" s="1" customFormat="1" ht="12.75" x14ac:dyDescent="0.15">
      <c r="A148" s="7"/>
      <c r="B148" s="8"/>
      <c r="C148" s="38"/>
      <c r="D148" s="34"/>
    </row>
    <row r="149" spans="1:4" s="1" customFormat="1" ht="12.75" x14ac:dyDescent="0.15">
      <c r="A149" s="7"/>
      <c r="B149" s="8"/>
      <c r="C149" s="38"/>
      <c r="D149" s="34"/>
    </row>
    <row r="150" spans="1:4" s="1" customFormat="1" ht="12.75" x14ac:dyDescent="0.15">
      <c r="A150" s="7"/>
      <c r="B150" s="8"/>
      <c r="C150" s="38"/>
      <c r="D150" s="34"/>
    </row>
    <row r="151" spans="1:4" s="1" customFormat="1" ht="12.75" x14ac:dyDescent="0.15">
      <c r="A151" s="7"/>
      <c r="B151" s="8"/>
      <c r="C151" s="38"/>
      <c r="D151" s="34"/>
    </row>
    <row r="152" spans="1:4" s="1" customFormat="1" ht="13.5" thickBot="1" x14ac:dyDescent="0.2">
      <c r="A152" s="9"/>
      <c r="B152" s="10"/>
      <c r="C152" s="39"/>
      <c r="D152" s="35"/>
    </row>
    <row r="153" spans="1:4" s="1" customFormat="1" ht="13.5" thickBot="1" x14ac:dyDescent="0.2">
      <c r="A153" s="49" t="s">
        <v>11</v>
      </c>
      <c r="B153" s="50">
        <f>SUM(B143:B152)</f>
        <v>8</v>
      </c>
      <c r="C153" s="51"/>
      <c r="D153" s="52"/>
    </row>
    <row r="154" spans="1:4" s="33" customFormat="1" ht="12.75" thickTop="1" thickBot="1" x14ac:dyDescent="0.2">
      <c r="A154" s="4"/>
      <c r="B154" s="4"/>
      <c r="C154" s="4"/>
    </row>
    <row r="155" spans="1:4" s="2" customFormat="1" ht="30" customHeight="1" thickTop="1" thickBot="1" x14ac:dyDescent="0.25">
      <c r="A155" s="43" t="s">
        <v>5</v>
      </c>
      <c r="B155" s="67">
        <v>42825</v>
      </c>
      <c r="C155" s="30"/>
      <c r="D155" s="31"/>
    </row>
    <row r="156" spans="1:4" s="2" customFormat="1" ht="30" customHeight="1" thickBot="1" x14ac:dyDescent="0.25">
      <c r="A156" s="42" t="s">
        <v>8</v>
      </c>
      <c r="B156" s="32" t="s">
        <v>86</v>
      </c>
      <c r="C156" s="44" t="s">
        <v>10</v>
      </c>
      <c r="D156" s="36" t="s">
        <v>9</v>
      </c>
    </row>
    <row r="157" spans="1:4" s="1" customFormat="1" ht="12.75" x14ac:dyDescent="0.15">
      <c r="A157" s="5" t="s">
        <v>28</v>
      </c>
      <c r="B157" s="6">
        <v>2</v>
      </c>
      <c r="C157" s="37" t="s">
        <v>65</v>
      </c>
      <c r="D157" s="40"/>
    </row>
    <row r="158" spans="1:4" s="1" customFormat="1" ht="12.75" x14ac:dyDescent="0.15">
      <c r="A158" s="7" t="s">
        <v>29</v>
      </c>
      <c r="B158" s="8">
        <v>3</v>
      </c>
      <c r="C158" s="38" t="s">
        <v>66</v>
      </c>
      <c r="D158" s="34" t="s">
        <v>67</v>
      </c>
    </row>
    <row r="159" spans="1:4" s="1" customFormat="1" ht="12.75" x14ac:dyDescent="0.15">
      <c r="A159" s="7" t="s">
        <v>25</v>
      </c>
      <c r="B159" s="8">
        <v>4</v>
      </c>
      <c r="C159" s="38" t="s">
        <v>68</v>
      </c>
      <c r="D159" s="34"/>
    </row>
    <row r="160" spans="1:4" s="1" customFormat="1" ht="12.75" x14ac:dyDescent="0.15">
      <c r="A160" s="7"/>
      <c r="B160" s="8"/>
      <c r="C160" s="45"/>
      <c r="D160" s="34"/>
    </row>
    <row r="161" spans="1:4" s="1" customFormat="1" ht="13.5" customHeight="1" x14ac:dyDescent="0.15">
      <c r="A161" s="7"/>
      <c r="B161" s="8"/>
      <c r="C161" s="38"/>
      <c r="D161" s="34"/>
    </row>
    <row r="162" spans="1:4" s="1" customFormat="1" ht="12.75" x14ac:dyDescent="0.15">
      <c r="A162" s="7"/>
      <c r="B162" s="8"/>
      <c r="C162" s="38"/>
      <c r="D162" s="34"/>
    </row>
    <row r="163" spans="1:4" s="1" customFormat="1" ht="12.75" x14ac:dyDescent="0.15">
      <c r="A163" s="7"/>
      <c r="B163" s="8"/>
      <c r="C163" s="38"/>
      <c r="D163" s="34"/>
    </row>
    <row r="164" spans="1:4" s="1" customFormat="1" ht="12.75" x14ac:dyDescent="0.15">
      <c r="A164" s="7"/>
      <c r="B164" s="8"/>
      <c r="C164" s="38"/>
      <c r="D164" s="34"/>
    </row>
    <row r="165" spans="1:4" s="1" customFormat="1" ht="12.75" x14ac:dyDescent="0.15">
      <c r="A165" s="7"/>
      <c r="B165" s="8"/>
      <c r="C165" s="38"/>
      <c r="D165" s="34"/>
    </row>
    <row r="166" spans="1:4" s="1" customFormat="1" ht="13.5" thickBot="1" x14ac:dyDescent="0.2">
      <c r="A166" s="9"/>
      <c r="B166" s="10"/>
      <c r="C166" s="39"/>
      <c r="D166" s="35"/>
    </row>
    <row r="167" spans="1:4" s="1" customFormat="1" ht="13.5" thickBot="1" x14ac:dyDescent="0.2">
      <c r="A167" s="49" t="s">
        <v>11</v>
      </c>
      <c r="B167" s="50">
        <f>SUM(B157:B166)</f>
        <v>9</v>
      </c>
      <c r="C167" s="51"/>
      <c r="D167" s="52"/>
    </row>
    <row r="168" spans="1:4" s="33" customFormat="1" ht="12.75" thickTop="1" thickBot="1" x14ac:dyDescent="0.2">
      <c r="A168" s="4"/>
      <c r="B168" s="4"/>
      <c r="C168" s="4"/>
    </row>
    <row r="169" spans="1:4" s="2" customFormat="1" ht="30" customHeight="1" thickTop="1" thickBot="1" x14ac:dyDescent="0.25">
      <c r="A169" s="43" t="s">
        <v>5</v>
      </c>
      <c r="B169" s="67">
        <v>42818</v>
      </c>
      <c r="C169" s="30"/>
      <c r="D169" s="31"/>
    </row>
    <row r="170" spans="1:4" s="2" customFormat="1" ht="30" customHeight="1" thickBot="1" x14ac:dyDescent="0.25">
      <c r="A170" s="42" t="s">
        <v>8</v>
      </c>
      <c r="B170" s="32" t="s">
        <v>86</v>
      </c>
      <c r="C170" s="44" t="s">
        <v>10</v>
      </c>
      <c r="D170" s="36" t="s">
        <v>9</v>
      </c>
    </row>
    <row r="171" spans="1:4" s="1" customFormat="1" ht="12.75" x14ac:dyDescent="0.15">
      <c r="A171" s="5" t="s">
        <v>28</v>
      </c>
      <c r="B171" s="6">
        <v>4</v>
      </c>
      <c r="C171" s="37" t="s">
        <v>62</v>
      </c>
      <c r="D171" s="40"/>
    </row>
    <row r="172" spans="1:4" s="1" customFormat="1" ht="12.75" x14ac:dyDescent="0.15">
      <c r="A172" s="7" t="s">
        <v>29</v>
      </c>
      <c r="B172" s="8">
        <v>3</v>
      </c>
      <c r="C172" s="38" t="s">
        <v>63</v>
      </c>
      <c r="D172" s="34"/>
    </row>
    <row r="173" spans="1:4" s="1" customFormat="1" ht="12.75" x14ac:dyDescent="0.15">
      <c r="A173" s="7" t="s">
        <v>27</v>
      </c>
      <c r="B173" s="8">
        <v>3</v>
      </c>
      <c r="C173" s="38" t="s">
        <v>64</v>
      </c>
      <c r="D173" s="34"/>
    </row>
    <row r="174" spans="1:4" s="1" customFormat="1" ht="12.75" x14ac:dyDescent="0.15">
      <c r="A174" s="7"/>
      <c r="B174" s="8"/>
      <c r="C174" s="45"/>
      <c r="D174" s="34"/>
    </row>
    <row r="175" spans="1:4" s="1" customFormat="1" ht="13.5" customHeight="1" x14ac:dyDescent="0.15">
      <c r="A175" s="7"/>
      <c r="B175" s="8"/>
      <c r="C175" s="38"/>
      <c r="D175" s="34"/>
    </row>
    <row r="176" spans="1:4" s="1" customFormat="1" ht="12.75" x14ac:dyDescent="0.15">
      <c r="A176" s="7"/>
      <c r="B176" s="8"/>
      <c r="C176" s="38"/>
      <c r="D176" s="34"/>
    </row>
    <row r="177" spans="1:4" s="1" customFormat="1" ht="12.75" x14ac:dyDescent="0.15">
      <c r="A177" s="7"/>
      <c r="B177" s="8"/>
      <c r="C177" s="38"/>
      <c r="D177" s="34"/>
    </row>
    <row r="178" spans="1:4" s="1" customFormat="1" ht="12.75" x14ac:dyDescent="0.15">
      <c r="A178" s="7"/>
      <c r="B178" s="8"/>
      <c r="C178" s="38"/>
      <c r="D178" s="34"/>
    </row>
    <row r="179" spans="1:4" s="1" customFormat="1" ht="12.75" x14ac:dyDescent="0.15">
      <c r="A179" s="7"/>
      <c r="B179" s="8"/>
      <c r="C179" s="38"/>
      <c r="D179" s="34"/>
    </row>
    <row r="180" spans="1:4" s="1" customFormat="1" ht="13.5" thickBot="1" x14ac:dyDescent="0.2">
      <c r="A180" s="9"/>
      <c r="B180" s="10"/>
      <c r="C180" s="39"/>
      <c r="D180" s="35"/>
    </row>
    <row r="181" spans="1:4" s="1" customFormat="1" ht="13.5" thickBot="1" x14ac:dyDescent="0.2">
      <c r="A181" s="49" t="s">
        <v>11</v>
      </c>
      <c r="B181" s="50">
        <f>SUM(B171:B180)</f>
        <v>10</v>
      </c>
      <c r="C181" s="51"/>
      <c r="D181" s="52"/>
    </row>
    <row r="182" spans="1:4" s="33" customFormat="1" ht="12.75" thickTop="1" thickBot="1" x14ac:dyDescent="0.2">
      <c r="A182" s="4"/>
      <c r="B182" s="4"/>
      <c r="C182" s="4"/>
    </row>
    <row r="183" spans="1:4" s="2" customFormat="1" ht="30" customHeight="1" thickTop="1" thickBot="1" x14ac:dyDescent="0.25">
      <c r="A183" s="43" t="s">
        <v>5</v>
      </c>
      <c r="B183" s="67">
        <v>42811</v>
      </c>
      <c r="C183" s="30"/>
      <c r="D183" s="31"/>
    </row>
    <row r="184" spans="1:4" s="2" customFormat="1" ht="30" customHeight="1" thickBot="1" x14ac:dyDescent="0.25">
      <c r="A184" s="42" t="s">
        <v>8</v>
      </c>
      <c r="B184" s="32" t="s">
        <v>86</v>
      </c>
      <c r="C184" s="44" t="s">
        <v>10</v>
      </c>
      <c r="D184" s="36" t="s">
        <v>9</v>
      </c>
    </row>
    <row r="185" spans="1:4" s="1" customFormat="1" ht="12.75" x14ac:dyDescent="0.15">
      <c r="A185" s="5" t="s">
        <v>28</v>
      </c>
      <c r="B185" s="6">
        <v>3</v>
      </c>
      <c r="C185" s="37" t="s">
        <v>59</v>
      </c>
      <c r="D185" s="40"/>
    </row>
    <row r="186" spans="1:4" s="1" customFormat="1" ht="12.75" x14ac:dyDescent="0.15">
      <c r="A186" s="7" t="s">
        <v>29</v>
      </c>
      <c r="B186" s="8">
        <v>3</v>
      </c>
      <c r="C186" s="38" t="s">
        <v>60</v>
      </c>
      <c r="D186" s="34"/>
    </row>
    <row r="187" spans="1:4" s="1" customFormat="1" ht="12.75" x14ac:dyDescent="0.15">
      <c r="A187" s="7" t="s">
        <v>27</v>
      </c>
      <c r="B187" s="8">
        <v>4</v>
      </c>
      <c r="C187" s="38" t="s">
        <v>61</v>
      </c>
      <c r="D187" s="34"/>
    </row>
    <row r="188" spans="1:4" s="1" customFormat="1" ht="12.75" x14ac:dyDescent="0.15">
      <c r="A188" s="7"/>
      <c r="B188" s="8"/>
      <c r="C188" s="45"/>
      <c r="D188" s="34"/>
    </row>
    <row r="189" spans="1:4" s="1" customFormat="1" ht="13.5" customHeight="1" x14ac:dyDescent="0.15">
      <c r="A189" s="7"/>
      <c r="B189" s="8"/>
      <c r="C189" s="38"/>
      <c r="D189" s="34"/>
    </row>
    <row r="190" spans="1:4" s="1" customFormat="1" ht="12.75" x14ac:dyDescent="0.15">
      <c r="A190" s="7"/>
      <c r="B190" s="8"/>
      <c r="C190" s="38"/>
      <c r="D190" s="34"/>
    </row>
    <row r="191" spans="1:4" s="1" customFormat="1" ht="12.75" x14ac:dyDescent="0.15">
      <c r="A191" s="7"/>
      <c r="B191" s="8"/>
      <c r="C191" s="38"/>
      <c r="D191" s="34"/>
    </row>
    <row r="192" spans="1:4" s="1" customFormat="1" ht="12.75" x14ac:dyDescent="0.15">
      <c r="A192" s="7"/>
      <c r="B192" s="8"/>
      <c r="C192" s="38"/>
      <c r="D192" s="34"/>
    </row>
    <row r="193" spans="1:4" s="1" customFormat="1" ht="12.75" x14ac:dyDescent="0.15">
      <c r="A193" s="7"/>
      <c r="B193" s="8"/>
      <c r="C193" s="38"/>
      <c r="D193" s="34"/>
    </row>
    <row r="194" spans="1:4" s="1" customFormat="1" ht="13.5" thickBot="1" x14ac:dyDescent="0.2">
      <c r="A194" s="9"/>
      <c r="B194" s="10"/>
      <c r="C194" s="39"/>
      <c r="D194" s="35"/>
    </row>
    <row r="195" spans="1:4" s="1" customFormat="1" ht="13.5" thickBot="1" x14ac:dyDescent="0.2">
      <c r="A195" s="49" t="s">
        <v>11</v>
      </c>
      <c r="B195" s="50">
        <f>SUM(B185:B194)</f>
        <v>10</v>
      </c>
      <c r="C195" s="51"/>
      <c r="D195" s="52"/>
    </row>
    <row r="196" spans="1:4" s="33" customFormat="1" ht="12.75" thickTop="1" thickBot="1" x14ac:dyDescent="0.2">
      <c r="A196" s="4"/>
      <c r="B196" s="4"/>
      <c r="C196" s="4"/>
    </row>
    <row r="197" spans="1:4" s="2" customFormat="1" ht="30" customHeight="1" thickTop="1" thickBot="1" x14ac:dyDescent="0.25">
      <c r="A197" s="43" t="s">
        <v>5</v>
      </c>
      <c r="B197" s="67">
        <v>42804</v>
      </c>
      <c r="C197" s="30"/>
      <c r="D197" s="31"/>
    </row>
    <row r="198" spans="1:4" s="2" customFormat="1" ht="30" customHeight="1" thickBot="1" x14ac:dyDescent="0.25">
      <c r="A198" s="42" t="s">
        <v>8</v>
      </c>
      <c r="B198" s="32" t="s">
        <v>86</v>
      </c>
      <c r="C198" s="44" t="s">
        <v>10</v>
      </c>
      <c r="D198" s="36" t="s">
        <v>9</v>
      </c>
    </row>
    <row r="199" spans="1:4" s="1" customFormat="1" ht="12.75" x14ac:dyDescent="0.15">
      <c r="A199" s="5" t="s">
        <v>27</v>
      </c>
      <c r="B199" s="6">
        <v>8</v>
      </c>
      <c r="C199" s="37" t="s">
        <v>58</v>
      </c>
      <c r="D199" s="40"/>
    </row>
    <row r="200" spans="1:4" s="1" customFormat="1" ht="12.75" x14ac:dyDescent="0.15">
      <c r="A200" s="7"/>
      <c r="B200" s="8"/>
      <c r="C200" s="38"/>
      <c r="D200" s="34"/>
    </row>
    <row r="201" spans="1:4" s="1" customFormat="1" ht="12.75" x14ac:dyDescent="0.15">
      <c r="A201" s="7"/>
      <c r="B201" s="8"/>
      <c r="C201" s="38"/>
      <c r="D201" s="34"/>
    </row>
    <row r="202" spans="1:4" s="1" customFormat="1" ht="12.75" x14ac:dyDescent="0.15">
      <c r="A202" s="7"/>
      <c r="B202" s="8"/>
      <c r="C202" s="45"/>
      <c r="D202" s="34"/>
    </row>
    <row r="203" spans="1:4" s="1" customFormat="1" ht="13.5" customHeight="1" x14ac:dyDescent="0.15">
      <c r="A203" s="7"/>
      <c r="B203" s="8"/>
      <c r="C203" s="38"/>
      <c r="D203" s="34"/>
    </row>
    <row r="204" spans="1:4" s="1" customFormat="1" ht="12.75" x14ac:dyDescent="0.15">
      <c r="A204" s="7"/>
      <c r="B204" s="8"/>
      <c r="C204" s="38"/>
      <c r="D204" s="34"/>
    </row>
    <row r="205" spans="1:4" s="1" customFormat="1" ht="12.75" x14ac:dyDescent="0.15">
      <c r="A205" s="7"/>
      <c r="B205" s="8"/>
      <c r="C205" s="38"/>
      <c r="D205" s="34"/>
    </row>
    <row r="206" spans="1:4" s="1" customFormat="1" ht="12.75" x14ac:dyDescent="0.15">
      <c r="A206" s="7"/>
      <c r="B206" s="8"/>
      <c r="C206" s="38"/>
      <c r="D206" s="34"/>
    </row>
    <row r="207" spans="1:4" s="1" customFormat="1" ht="12.75" x14ac:dyDescent="0.15">
      <c r="A207" s="7"/>
      <c r="B207" s="8"/>
      <c r="C207" s="38"/>
      <c r="D207" s="34"/>
    </row>
    <row r="208" spans="1:4" s="1" customFormat="1" ht="13.5" thickBot="1" x14ac:dyDescent="0.2">
      <c r="A208" s="9"/>
      <c r="B208" s="10"/>
      <c r="C208" s="39"/>
      <c r="D208" s="35"/>
    </row>
    <row r="209" spans="1:4" s="1" customFormat="1" ht="13.5" thickBot="1" x14ac:dyDescent="0.2">
      <c r="A209" s="49" t="s">
        <v>11</v>
      </c>
      <c r="B209" s="50">
        <f>SUM(B199:B208)</f>
        <v>8</v>
      </c>
      <c r="C209" s="51"/>
      <c r="D209" s="52"/>
    </row>
    <row r="210" spans="1:4" s="33" customFormat="1" ht="12.75" thickTop="1" thickBot="1" x14ac:dyDescent="0.2">
      <c r="A210" s="4"/>
      <c r="B210" s="4"/>
      <c r="C210" s="4"/>
    </row>
    <row r="211" spans="1:4" s="2" customFormat="1" ht="30" customHeight="1" thickTop="1" thickBot="1" x14ac:dyDescent="0.25">
      <c r="A211" s="43" t="s">
        <v>5</v>
      </c>
      <c r="B211" s="67">
        <v>42797</v>
      </c>
      <c r="C211" s="30"/>
      <c r="D211" s="31"/>
    </row>
    <row r="212" spans="1:4" s="2" customFormat="1" ht="30" customHeight="1" thickBot="1" x14ac:dyDescent="0.25">
      <c r="A212" s="42" t="s">
        <v>8</v>
      </c>
      <c r="B212" s="32" t="s">
        <v>86</v>
      </c>
      <c r="C212" s="44" t="s">
        <v>10</v>
      </c>
      <c r="D212" s="36" t="s">
        <v>9</v>
      </c>
    </row>
    <row r="213" spans="1:4" s="1" customFormat="1" ht="12.75" x14ac:dyDescent="0.15">
      <c r="A213" s="5" t="s">
        <v>28</v>
      </c>
      <c r="B213" s="6">
        <v>9</v>
      </c>
      <c r="C213" s="37" t="s">
        <v>57</v>
      </c>
      <c r="D213" s="40"/>
    </row>
    <row r="214" spans="1:4" s="1" customFormat="1" ht="12.75" x14ac:dyDescent="0.15">
      <c r="A214" s="7"/>
      <c r="B214" s="8"/>
      <c r="C214" s="38"/>
      <c r="D214" s="34"/>
    </row>
    <row r="215" spans="1:4" s="1" customFormat="1" ht="12.75" x14ac:dyDescent="0.15">
      <c r="A215" s="7"/>
      <c r="B215" s="8"/>
      <c r="C215" s="38"/>
      <c r="D215" s="34"/>
    </row>
    <row r="216" spans="1:4" s="1" customFormat="1" ht="12.75" x14ac:dyDescent="0.15">
      <c r="A216" s="7"/>
      <c r="B216" s="8"/>
      <c r="C216" s="45"/>
      <c r="D216" s="34"/>
    </row>
    <row r="217" spans="1:4" s="1" customFormat="1" ht="13.5" customHeight="1" x14ac:dyDescent="0.15">
      <c r="A217" s="7"/>
      <c r="B217" s="8"/>
      <c r="C217" s="38"/>
      <c r="D217" s="34"/>
    </row>
    <row r="218" spans="1:4" s="1" customFormat="1" ht="12.75" x14ac:dyDescent="0.15">
      <c r="A218" s="7"/>
      <c r="B218" s="8"/>
      <c r="C218" s="38"/>
      <c r="D218" s="34"/>
    </row>
    <row r="219" spans="1:4" s="1" customFormat="1" ht="12.75" x14ac:dyDescent="0.15">
      <c r="A219" s="7"/>
      <c r="B219" s="8"/>
      <c r="C219" s="38"/>
      <c r="D219" s="34"/>
    </row>
    <row r="220" spans="1:4" s="1" customFormat="1" ht="12.75" x14ac:dyDescent="0.15">
      <c r="A220" s="7"/>
      <c r="B220" s="8"/>
      <c r="C220" s="38"/>
      <c r="D220" s="34"/>
    </row>
    <row r="221" spans="1:4" s="1" customFormat="1" ht="12.75" x14ac:dyDescent="0.15">
      <c r="A221" s="7"/>
      <c r="B221" s="8"/>
      <c r="C221" s="38"/>
      <c r="D221" s="34"/>
    </row>
    <row r="222" spans="1:4" s="1" customFormat="1" ht="13.5" thickBot="1" x14ac:dyDescent="0.2">
      <c r="A222" s="9"/>
      <c r="B222" s="10"/>
      <c r="C222" s="39"/>
      <c r="D222" s="35"/>
    </row>
    <row r="223" spans="1:4" s="1" customFormat="1" ht="13.5" thickBot="1" x14ac:dyDescent="0.2">
      <c r="A223" s="49" t="s">
        <v>11</v>
      </c>
      <c r="B223" s="50">
        <f>SUM(B213:B222)</f>
        <v>9</v>
      </c>
      <c r="C223" s="51"/>
      <c r="D223" s="52"/>
    </row>
    <row r="224" spans="1:4" s="33" customFormat="1" ht="12.75" thickTop="1" thickBot="1" x14ac:dyDescent="0.2">
      <c r="A224" s="4"/>
      <c r="B224" s="4"/>
      <c r="C224" s="4"/>
    </row>
    <row r="225" spans="1:4" s="2" customFormat="1" ht="30" customHeight="1" thickTop="1" thickBot="1" x14ac:dyDescent="0.25">
      <c r="A225" s="43" t="s">
        <v>5</v>
      </c>
      <c r="B225" s="67">
        <v>42783</v>
      </c>
      <c r="C225" s="30"/>
      <c r="D225" s="31"/>
    </row>
    <row r="226" spans="1:4" s="2" customFormat="1" ht="30" customHeight="1" thickBot="1" x14ac:dyDescent="0.25">
      <c r="A226" s="42" t="s">
        <v>8</v>
      </c>
      <c r="B226" s="32" t="s">
        <v>86</v>
      </c>
      <c r="C226" s="44" t="s">
        <v>10</v>
      </c>
      <c r="D226" s="36" t="s">
        <v>9</v>
      </c>
    </row>
    <row r="227" spans="1:4" s="1" customFormat="1" ht="12.75" x14ac:dyDescent="0.15">
      <c r="A227" s="5" t="s">
        <v>26</v>
      </c>
      <c r="B227" s="6">
        <v>5</v>
      </c>
      <c r="C227" s="37" t="s">
        <v>54</v>
      </c>
      <c r="D227" s="40"/>
    </row>
    <row r="228" spans="1:4" s="1" customFormat="1" ht="25.5" x14ac:dyDescent="0.15">
      <c r="A228" s="7" t="s">
        <v>26</v>
      </c>
      <c r="B228" s="8">
        <v>5</v>
      </c>
      <c r="C228" s="38" t="s">
        <v>55</v>
      </c>
      <c r="D228" s="34" t="s">
        <v>56</v>
      </c>
    </row>
    <row r="229" spans="1:4" s="1" customFormat="1" ht="12.75" x14ac:dyDescent="0.15">
      <c r="A229" s="7"/>
      <c r="B229" s="8"/>
      <c r="C229" s="38"/>
      <c r="D229" s="34"/>
    </row>
    <row r="230" spans="1:4" s="1" customFormat="1" ht="12.75" x14ac:dyDescent="0.15">
      <c r="A230" s="7"/>
      <c r="B230" s="8"/>
      <c r="C230" s="45"/>
      <c r="D230" s="34"/>
    </row>
    <row r="231" spans="1:4" s="1" customFormat="1" ht="13.5" customHeight="1" x14ac:dyDescent="0.15">
      <c r="A231" s="7"/>
      <c r="B231" s="8"/>
      <c r="C231" s="38"/>
      <c r="D231" s="34"/>
    </row>
    <row r="232" spans="1:4" s="1" customFormat="1" ht="12.75" x14ac:dyDescent="0.15">
      <c r="A232" s="7"/>
      <c r="B232" s="8"/>
      <c r="C232" s="38"/>
      <c r="D232" s="34"/>
    </row>
    <row r="233" spans="1:4" s="1" customFormat="1" ht="12.75" x14ac:dyDescent="0.15">
      <c r="A233" s="7"/>
      <c r="B233" s="8"/>
      <c r="C233" s="38"/>
      <c r="D233" s="34"/>
    </row>
    <row r="234" spans="1:4" s="1" customFormat="1" ht="12.75" x14ac:dyDescent="0.15">
      <c r="A234" s="7"/>
      <c r="B234" s="8"/>
      <c r="C234" s="38"/>
      <c r="D234" s="34"/>
    </row>
    <row r="235" spans="1:4" s="1" customFormat="1" ht="12.75" x14ac:dyDescent="0.15">
      <c r="A235" s="7"/>
      <c r="B235" s="8"/>
      <c r="C235" s="38"/>
      <c r="D235" s="34"/>
    </row>
    <row r="236" spans="1:4" s="1" customFormat="1" ht="13.5" thickBot="1" x14ac:dyDescent="0.2">
      <c r="A236" s="9"/>
      <c r="B236" s="10"/>
      <c r="C236" s="39"/>
      <c r="D236" s="35"/>
    </row>
    <row r="237" spans="1:4" s="1" customFormat="1" ht="13.5" thickBot="1" x14ac:dyDescent="0.2">
      <c r="A237" s="49" t="s">
        <v>11</v>
      </c>
      <c r="B237" s="50">
        <f>SUM(B227:B236)</f>
        <v>10</v>
      </c>
      <c r="C237" s="51"/>
      <c r="D237" s="52"/>
    </row>
    <row r="238" spans="1:4" s="33" customFormat="1" ht="12.75" thickTop="1" thickBot="1" x14ac:dyDescent="0.2">
      <c r="A238" s="4"/>
      <c r="B238" s="4"/>
      <c r="C238" s="4"/>
    </row>
    <row r="239" spans="1:4" s="2" customFormat="1" ht="30" customHeight="1" thickTop="1" thickBot="1" x14ac:dyDescent="0.25">
      <c r="A239" s="43" t="s">
        <v>5</v>
      </c>
      <c r="B239" s="67">
        <v>42776</v>
      </c>
      <c r="C239" s="30"/>
      <c r="D239" s="31"/>
    </row>
    <row r="240" spans="1:4" s="2" customFormat="1" ht="30" customHeight="1" thickBot="1" x14ac:dyDescent="0.25">
      <c r="A240" s="42" t="s">
        <v>8</v>
      </c>
      <c r="B240" s="32" t="s">
        <v>86</v>
      </c>
      <c r="C240" s="44" t="s">
        <v>10</v>
      </c>
      <c r="D240" s="36" t="s">
        <v>9</v>
      </c>
    </row>
    <row r="241" spans="1:4" s="1" customFormat="1" ht="12.75" x14ac:dyDescent="0.15">
      <c r="A241" s="5" t="s">
        <v>30</v>
      </c>
      <c r="B241" s="6">
        <v>2</v>
      </c>
      <c r="C241" s="37" t="s">
        <v>33</v>
      </c>
      <c r="D241" s="40"/>
    </row>
    <row r="242" spans="1:4" s="1" customFormat="1" ht="12.75" x14ac:dyDescent="0.15">
      <c r="A242" s="7" t="s">
        <v>31</v>
      </c>
      <c r="B242" s="8">
        <v>6</v>
      </c>
      <c r="C242" s="38" t="s">
        <v>34</v>
      </c>
      <c r="D242" s="34"/>
    </row>
    <row r="243" spans="1:4" s="1" customFormat="1" ht="12.75" x14ac:dyDescent="0.15">
      <c r="A243" s="7"/>
      <c r="B243" s="8"/>
      <c r="C243" s="38"/>
      <c r="D243" s="34"/>
    </row>
    <row r="244" spans="1:4" s="1" customFormat="1" ht="12.75" x14ac:dyDescent="0.15">
      <c r="A244" s="7"/>
      <c r="B244" s="8"/>
      <c r="C244" s="45"/>
      <c r="D244" s="34"/>
    </row>
    <row r="245" spans="1:4" s="1" customFormat="1" ht="13.5" customHeight="1" x14ac:dyDescent="0.15">
      <c r="A245" s="7"/>
      <c r="B245" s="8"/>
      <c r="C245" s="38"/>
      <c r="D245" s="34"/>
    </row>
    <row r="246" spans="1:4" s="1" customFormat="1" ht="12.75" x14ac:dyDescent="0.15">
      <c r="A246" s="7"/>
      <c r="B246" s="8"/>
      <c r="C246" s="38"/>
      <c r="D246" s="34"/>
    </row>
    <row r="247" spans="1:4" s="1" customFormat="1" ht="12.75" x14ac:dyDescent="0.15">
      <c r="A247" s="7"/>
      <c r="B247" s="8"/>
      <c r="C247" s="38"/>
      <c r="D247" s="34"/>
    </row>
    <row r="248" spans="1:4" s="1" customFormat="1" ht="12.75" x14ac:dyDescent="0.15">
      <c r="A248" s="7"/>
      <c r="B248" s="8"/>
      <c r="C248" s="38"/>
      <c r="D248" s="34"/>
    </row>
    <row r="249" spans="1:4" s="1" customFormat="1" ht="12.75" x14ac:dyDescent="0.15">
      <c r="A249" s="7"/>
      <c r="B249" s="8"/>
      <c r="C249" s="38"/>
      <c r="D249" s="34"/>
    </row>
    <row r="250" spans="1:4" s="1" customFormat="1" ht="13.5" thickBot="1" x14ac:dyDescent="0.2">
      <c r="A250" s="9"/>
      <c r="B250" s="10"/>
      <c r="C250" s="39"/>
      <c r="D250" s="35"/>
    </row>
    <row r="251" spans="1:4" s="1" customFormat="1" ht="13.5" thickBot="1" x14ac:dyDescent="0.2">
      <c r="A251" s="49" t="s">
        <v>11</v>
      </c>
      <c r="B251" s="50">
        <f>SUM(B241:B250)</f>
        <v>8</v>
      </c>
      <c r="C251" s="51"/>
      <c r="D251" s="52"/>
    </row>
    <row r="252" spans="1:4" s="33" customFormat="1" ht="12.75" thickTop="1" thickBot="1" x14ac:dyDescent="0.2">
      <c r="A252" s="4"/>
      <c r="B252" s="4"/>
      <c r="C252" s="4"/>
    </row>
    <row r="253" spans="1:4" s="2" customFormat="1" ht="30" customHeight="1" thickTop="1" thickBot="1" x14ac:dyDescent="0.25">
      <c r="A253" s="43" t="s">
        <v>5</v>
      </c>
      <c r="B253" s="67">
        <v>42769</v>
      </c>
      <c r="C253" s="30"/>
      <c r="D253" s="31"/>
    </row>
    <row r="254" spans="1:4" s="2" customFormat="1" ht="30" customHeight="1" thickBot="1" x14ac:dyDescent="0.25">
      <c r="A254" s="42" t="s">
        <v>8</v>
      </c>
      <c r="B254" s="32" t="s">
        <v>86</v>
      </c>
      <c r="C254" s="44" t="s">
        <v>10</v>
      </c>
      <c r="D254" s="36" t="s">
        <v>9</v>
      </c>
    </row>
    <row r="255" spans="1:4" s="1" customFormat="1" ht="12.75" x14ac:dyDescent="0.15">
      <c r="A255" s="5" t="s">
        <v>26</v>
      </c>
      <c r="B255" s="6">
        <v>8</v>
      </c>
      <c r="C255" s="37" t="s">
        <v>32</v>
      </c>
      <c r="D255" s="40"/>
    </row>
    <row r="256" spans="1:4" s="1" customFormat="1" ht="12.75" x14ac:dyDescent="0.15">
      <c r="A256" s="7"/>
      <c r="B256" s="8"/>
      <c r="C256" s="38"/>
      <c r="D256" s="34"/>
    </row>
    <row r="257" spans="1:4" s="1" customFormat="1" ht="12.75" x14ac:dyDescent="0.15">
      <c r="A257" s="7"/>
      <c r="B257" s="8"/>
      <c r="C257" s="38"/>
      <c r="D257" s="34"/>
    </row>
    <row r="258" spans="1:4" s="1" customFormat="1" ht="12.75" x14ac:dyDescent="0.15">
      <c r="A258" s="7"/>
      <c r="B258" s="8"/>
      <c r="C258" s="45"/>
      <c r="D258" s="34"/>
    </row>
    <row r="259" spans="1:4" s="1" customFormat="1" ht="13.5" customHeight="1" x14ac:dyDescent="0.15">
      <c r="A259" s="7"/>
      <c r="B259" s="8"/>
      <c r="C259" s="38"/>
      <c r="D259" s="34"/>
    </row>
    <row r="260" spans="1:4" s="1" customFormat="1" ht="12.75" x14ac:dyDescent="0.15">
      <c r="A260" s="7"/>
      <c r="B260" s="8"/>
      <c r="C260" s="38"/>
      <c r="D260" s="34"/>
    </row>
    <row r="261" spans="1:4" s="1" customFormat="1" ht="12.75" x14ac:dyDescent="0.15">
      <c r="A261" s="7"/>
      <c r="B261" s="8"/>
      <c r="C261" s="38"/>
      <c r="D261" s="34"/>
    </row>
    <row r="262" spans="1:4" s="1" customFormat="1" ht="12.75" x14ac:dyDescent="0.15">
      <c r="A262" s="7"/>
      <c r="B262" s="8"/>
      <c r="C262" s="38"/>
      <c r="D262" s="34"/>
    </row>
    <row r="263" spans="1:4" s="1" customFormat="1" ht="12.75" x14ac:dyDescent="0.15">
      <c r="A263" s="7"/>
      <c r="B263" s="8"/>
      <c r="C263" s="38"/>
      <c r="D263" s="34"/>
    </row>
    <row r="264" spans="1:4" s="1" customFormat="1" ht="13.5" thickBot="1" x14ac:dyDescent="0.2">
      <c r="A264" s="9"/>
      <c r="B264" s="10"/>
      <c r="C264" s="39"/>
      <c r="D264" s="35"/>
    </row>
    <row r="265" spans="1:4" s="1" customFormat="1" ht="13.5" thickBot="1" x14ac:dyDescent="0.2">
      <c r="A265" s="49" t="s">
        <v>11</v>
      </c>
      <c r="B265" s="50">
        <f>SUM(B255:B264)</f>
        <v>8</v>
      </c>
      <c r="C265" s="51"/>
      <c r="D265" s="52"/>
    </row>
    <row r="266" spans="1:4" s="33" customFormat="1" ht="12.75" thickTop="1" thickBot="1" x14ac:dyDescent="0.2">
      <c r="A266" s="4"/>
      <c r="B266" s="4"/>
      <c r="C266" s="4"/>
    </row>
    <row r="267" spans="1:4" s="2" customFormat="1" ht="30" customHeight="1" thickTop="1" thickBot="1" x14ac:dyDescent="0.25">
      <c r="A267" s="43" t="s">
        <v>5</v>
      </c>
      <c r="B267" s="67">
        <v>42762</v>
      </c>
      <c r="C267" s="30"/>
      <c r="D267" s="31"/>
    </row>
    <row r="268" spans="1:4" s="2" customFormat="1" ht="30" customHeight="1" thickBot="1" x14ac:dyDescent="0.25">
      <c r="A268" s="42" t="s">
        <v>8</v>
      </c>
      <c r="B268" s="32" t="s">
        <v>86</v>
      </c>
      <c r="C268" s="44" t="s">
        <v>10</v>
      </c>
      <c r="D268" s="36" t="s">
        <v>9</v>
      </c>
    </row>
    <row r="269" spans="1:4" s="1" customFormat="1" ht="12.75" x14ac:dyDescent="0.15">
      <c r="A269" s="5" t="s">
        <v>26</v>
      </c>
      <c r="B269" s="6">
        <v>3</v>
      </c>
      <c r="C269" s="37" t="s">
        <v>50</v>
      </c>
      <c r="D269" s="40"/>
    </row>
    <row r="270" spans="1:4" s="1" customFormat="1" ht="12.75" x14ac:dyDescent="0.15">
      <c r="A270" s="7" t="s">
        <v>26</v>
      </c>
      <c r="B270" s="8">
        <v>2</v>
      </c>
      <c r="C270" s="38" t="s">
        <v>51</v>
      </c>
      <c r="D270" s="34" t="s">
        <v>53</v>
      </c>
    </row>
    <row r="271" spans="1:4" s="1" customFormat="1" ht="12.75" x14ac:dyDescent="0.15">
      <c r="A271" s="7" t="s">
        <v>26</v>
      </c>
      <c r="B271" s="8">
        <v>4</v>
      </c>
      <c r="C271" s="38" t="s">
        <v>52</v>
      </c>
      <c r="D271" s="34"/>
    </row>
    <row r="272" spans="1:4" s="1" customFormat="1" ht="12.75" x14ac:dyDescent="0.15">
      <c r="A272" s="7"/>
      <c r="B272" s="8"/>
      <c r="C272" s="45"/>
      <c r="D272" s="34"/>
    </row>
    <row r="273" spans="1:4" s="1" customFormat="1" ht="13.5" customHeight="1" x14ac:dyDescent="0.15">
      <c r="A273" s="7"/>
      <c r="B273" s="8"/>
      <c r="C273" s="38"/>
      <c r="D273" s="34"/>
    </row>
    <row r="274" spans="1:4" s="1" customFormat="1" ht="12.75" x14ac:dyDescent="0.15">
      <c r="A274" s="7"/>
      <c r="B274" s="8"/>
      <c r="C274" s="38"/>
      <c r="D274" s="34"/>
    </row>
    <row r="275" spans="1:4" s="1" customFormat="1" ht="12.75" x14ac:dyDescent="0.15">
      <c r="A275" s="7"/>
      <c r="B275" s="8"/>
      <c r="C275" s="38"/>
      <c r="D275" s="34"/>
    </row>
    <row r="276" spans="1:4" s="1" customFormat="1" ht="12.75" x14ac:dyDescent="0.15">
      <c r="A276" s="7"/>
      <c r="B276" s="8"/>
      <c r="C276" s="38"/>
      <c r="D276" s="34"/>
    </row>
    <row r="277" spans="1:4" s="1" customFormat="1" ht="12.75" x14ac:dyDescent="0.15">
      <c r="A277" s="7"/>
      <c r="B277" s="8"/>
      <c r="C277" s="38"/>
      <c r="D277" s="34"/>
    </row>
    <row r="278" spans="1:4" s="1" customFormat="1" ht="13.5" thickBot="1" x14ac:dyDescent="0.2">
      <c r="A278" s="9"/>
      <c r="B278" s="10"/>
      <c r="C278" s="39"/>
      <c r="D278" s="35"/>
    </row>
    <row r="279" spans="1:4" s="1" customFormat="1" ht="13.5" thickBot="1" x14ac:dyDescent="0.2">
      <c r="A279" s="49" t="s">
        <v>11</v>
      </c>
      <c r="B279" s="50">
        <f>SUM(B269:B278)</f>
        <v>9</v>
      </c>
      <c r="C279" s="51"/>
      <c r="D279" s="52"/>
    </row>
    <row r="280" spans="1:4" s="33" customFormat="1" ht="12.75" thickTop="1" thickBot="1" x14ac:dyDescent="0.2">
      <c r="A280" s="4"/>
      <c r="B280" s="4"/>
      <c r="C280" s="4"/>
    </row>
    <row r="281" spans="1:4" s="2" customFormat="1" ht="30" customHeight="1" thickTop="1" thickBot="1" x14ac:dyDescent="0.25">
      <c r="A281" s="43" t="s">
        <v>5</v>
      </c>
      <c r="B281" s="67">
        <v>42755</v>
      </c>
      <c r="C281" s="30"/>
      <c r="D281" s="31"/>
    </row>
    <row r="282" spans="1:4" s="2" customFormat="1" ht="30" customHeight="1" thickBot="1" x14ac:dyDescent="0.25">
      <c r="A282" s="42" t="s">
        <v>8</v>
      </c>
      <c r="B282" s="32" t="s">
        <v>86</v>
      </c>
      <c r="C282" s="44" t="s">
        <v>10</v>
      </c>
      <c r="D282" s="36" t="s">
        <v>9</v>
      </c>
    </row>
    <row r="283" spans="1:4" s="1" customFormat="1" ht="12.75" x14ac:dyDescent="0.15">
      <c r="A283" s="5" t="s">
        <v>26</v>
      </c>
      <c r="B283" s="6">
        <v>8</v>
      </c>
      <c r="C283" s="37" t="s">
        <v>48</v>
      </c>
      <c r="D283" s="40"/>
    </row>
    <row r="284" spans="1:4" s="1" customFormat="1" ht="12.75" x14ac:dyDescent="0.15">
      <c r="A284" s="7"/>
      <c r="B284" s="8"/>
      <c r="C284" s="38"/>
      <c r="D284" s="34"/>
    </row>
    <row r="285" spans="1:4" s="1" customFormat="1" ht="12.75" x14ac:dyDescent="0.15">
      <c r="A285" s="7"/>
      <c r="B285" s="8"/>
      <c r="C285" s="38"/>
      <c r="D285" s="34"/>
    </row>
    <row r="286" spans="1:4" s="1" customFormat="1" ht="12.75" x14ac:dyDescent="0.15">
      <c r="A286" s="7"/>
      <c r="B286" s="8"/>
      <c r="C286" s="45"/>
      <c r="D286" s="34"/>
    </row>
    <row r="287" spans="1:4" s="1" customFormat="1" ht="13.5" customHeight="1" x14ac:dyDescent="0.15">
      <c r="A287" s="7"/>
      <c r="B287" s="8"/>
      <c r="C287" s="38"/>
      <c r="D287" s="34"/>
    </row>
    <row r="288" spans="1:4" s="1" customFormat="1" ht="12.75" x14ac:dyDescent="0.15">
      <c r="A288" s="7"/>
      <c r="B288" s="8"/>
      <c r="C288" s="38"/>
      <c r="D288" s="34"/>
    </row>
    <row r="289" spans="1:4" s="1" customFormat="1" ht="12.75" x14ac:dyDescent="0.15">
      <c r="A289" s="7"/>
      <c r="B289" s="8"/>
      <c r="C289" s="38"/>
      <c r="D289" s="34"/>
    </row>
    <row r="290" spans="1:4" s="1" customFormat="1" ht="12.75" x14ac:dyDescent="0.15">
      <c r="A290" s="7"/>
      <c r="B290" s="8"/>
      <c r="C290" s="38"/>
      <c r="D290" s="34"/>
    </row>
    <row r="291" spans="1:4" s="1" customFormat="1" ht="12.75" x14ac:dyDescent="0.15">
      <c r="A291" s="7"/>
      <c r="B291" s="8"/>
      <c r="C291" s="38"/>
      <c r="D291" s="34"/>
    </row>
    <row r="292" spans="1:4" s="1" customFormat="1" ht="13.5" thickBot="1" x14ac:dyDescent="0.2">
      <c r="A292" s="9"/>
      <c r="B292" s="10"/>
      <c r="C292" s="39"/>
      <c r="D292" s="35"/>
    </row>
    <row r="293" spans="1:4" s="1" customFormat="1" ht="13.5" thickBot="1" x14ac:dyDescent="0.2">
      <c r="A293" s="49" t="s">
        <v>11</v>
      </c>
      <c r="B293" s="50">
        <f>SUM(B283:B292)</f>
        <v>8</v>
      </c>
      <c r="C293" s="51"/>
      <c r="D293" s="52"/>
    </row>
    <row r="294" spans="1:4" s="33" customFormat="1" ht="12.75" thickTop="1" thickBot="1" x14ac:dyDescent="0.2">
      <c r="A294" s="4"/>
      <c r="B294" s="4"/>
      <c r="C294" s="4"/>
    </row>
    <row r="295" spans="1:4" s="2" customFormat="1" ht="30" customHeight="1" thickTop="1" thickBot="1" x14ac:dyDescent="0.25">
      <c r="A295" s="43" t="s">
        <v>5</v>
      </c>
      <c r="B295" s="67">
        <v>42748</v>
      </c>
      <c r="C295" s="30"/>
      <c r="D295" s="31"/>
    </row>
    <row r="296" spans="1:4" s="2" customFormat="1" ht="30" customHeight="1" thickBot="1" x14ac:dyDescent="0.25">
      <c r="A296" s="42" t="s">
        <v>8</v>
      </c>
      <c r="B296" s="32" t="s">
        <v>86</v>
      </c>
      <c r="C296" s="44" t="s">
        <v>10</v>
      </c>
      <c r="D296" s="36" t="s">
        <v>9</v>
      </c>
    </row>
    <row r="297" spans="1:4" s="1" customFormat="1" ht="12.75" x14ac:dyDescent="0.15">
      <c r="A297" s="5" t="s">
        <v>25</v>
      </c>
      <c r="B297" s="6">
        <v>8</v>
      </c>
      <c r="C297" s="37" t="s">
        <v>47</v>
      </c>
      <c r="D297" s="40"/>
    </row>
    <row r="298" spans="1:4" s="1" customFormat="1" ht="12.75" x14ac:dyDescent="0.15">
      <c r="A298" s="7"/>
      <c r="B298" s="8"/>
      <c r="C298" s="38"/>
      <c r="D298" s="34"/>
    </row>
    <row r="299" spans="1:4" s="1" customFormat="1" ht="12.75" x14ac:dyDescent="0.15">
      <c r="A299" s="7"/>
      <c r="B299" s="8"/>
      <c r="C299" s="38"/>
      <c r="D299" s="34"/>
    </row>
    <row r="300" spans="1:4" s="1" customFormat="1" ht="12.75" x14ac:dyDescent="0.15">
      <c r="A300" s="7"/>
      <c r="B300" s="8"/>
      <c r="C300" s="45"/>
      <c r="D300" s="34"/>
    </row>
    <row r="301" spans="1:4" s="1" customFormat="1" ht="13.5" customHeight="1" x14ac:dyDescent="0.15">
      <c r="A301" s="7"/>
      <c r="B301" s="8"/>
      <c r="C301" s="38"/>
      <c r="D301" s="34"/>
    </row>
    <row r="302" spans="1:4" s="1" customFormat="1" ht="12.75" x14ac:dyDescent="0.15">
      <c r="A302" s="7"/>
      <c r="B302" s="8"/>
      <c r="C302" s="38"/>
      <c r="D302" s="34"/>
    </row>
    <row r="303" spans="1:4" s="1" customFormat="1" ht="12.75" x14ac:dyDescent="0.15">
      <c r="A303" s="7"/>
      <c r="B303" s="8"/>
      <c r="C303" s="38"/>
      <c r="D303" s="34"/>
    </row>
    <row r="304" spans="1:4" s="1" customFormat="1" ht="12.75" x14ac:dyDescent="0.15">
      <c r="A304" s="7"/>
      <c r="B304" s="8"/>
      <c r="C304" s="38"/>
      <c r="D304" s="34"/>
    </row>
    <row r="305" spans="1:4" s="1" customFormat="1" ht="12.75" x14ac:dyDescent="0.15">
      <c r="A305" s="7"/>
      <c r="B305" s="8"/>
      <c r="C305" s="38"/>
      <c r="D305" s="34"/>
    </row>
    <row r="306" spans="1:4" s="1" customFormat="1" ht="13.5" thickBot="1" x14ac:dyDescent="0.2">
      <c r="A306" s="9"/>
      <c r="B306" s="10"/>
      <c r="C306" s="39"/>
      <c r="D306" s="35"/>
    </row>
    <row r="307" spans="1:4" s="1" customFormat="1" ht="13.5" thickBot="1" x14ac:dyDescent="0.2">
      <c r="A307" s="49" t="s">
        <v>11</v>
      </c>
      <c r="B307" s="50">
        <f>SUM(B297:B306)</f>
        <v>8</v>
      </c>
      <c r="C307" s="51"/>
      <c r="D307" s="52"/>
    </row>
    <row r="308" spans="1:4" s="33" customFormat="1" ht="12.75" thickTop="1" thickBot="1" x14ac:dyDescent="0.2">
      <c r="A308" s="4"/>
      <c r="B308" s="4"/>
      <c r="C308" s="4"/>
    </row>
    <row r="309" spans="1:4" s="2" customFormat="1" ht="30" customHeight="1" thickTop="1" thickBot="1" x14ac:dyDescent="0.25">
      <c r="A309" s="43" t="s">
        <v>5</v>
      </c>
      <c r="B309" s="67">
        <v>42720</v>
      </c>
      <c r="C309" s="30"/>
      <c r="D309" s="31"/>
    </row>
    <row r="310" spans="1:4" s="2" customFormat="1" ht="30" customHeight="1" thickBot="1" x14ac:dyDescent="0.25">
      <c r="A310" s="42" t="s">
        <v>8</v>
      </c>
      <c r="B310" s="32" t="s">
        <v>86</v>
      </c>
      <c r="C310" s="44" t="s">
        <v>10</v>
      </c>
      <c r="D310" s="36" t="s">
        <v>9</v>
      </c>
    </row>
    <row r="311" spans="1:4" s="1" customFormat="1" ht="12.75" x14ac:dyDescent="0.15">
      <c r="A311" s="5" t="s">
        <v>31</v>
      </c>
      <c r="B311" s="6">
        <v>6</v>
      </c>
      <c r="C311" s="37" t="s">
        <v>45</v>
      </c>
      <c r="D311" s="40"/>
    </row>
    <row r="312" spans="1:4" s="1" customFormat="1" ht="12.75" x14ac:dyDescent="0.15">
      <c r="A312" s="7" t="s">
        <v>30</v>
      </c>
      <c r="B312" s="8">
        <v>4</v>
      </c>
      <c r="C312" s="38" t="s">
        <v>46</v>
      </c>
      <c r="D312" s="34"/>
    </row>
    <row r="313" spans="1:4" s="1" customFormat="1" ht="12.75" x14ac:dyDescent="0.15">
      <c r="A313" s="7"/>
      <c r="B313" s="8"/>
      <c r="C313" s="38"/>
      <c r="D313" s="34"/>
    </row>
    <row r="314" spans="1:4" s="1" customFormat="1" ht="12.75" x14ac:dyDescent="0.15">
      <c r="A314" s="7"/>
      <c r="B314" s="8"/>
      <c r="C314" s="45"/>
      <c r="D314" s="34"/>
    </row>
    <row r="315" spans="1:4" s="1" customFormat="1" ht="13.5" customHeight="1" x14ac:dyDescent="0.15">
      <c r="A315" s="7"/>
      <c r="B315" s="8"/>
      <c r="C315" s="38"/>
      <c r="D315" s="34"/>
    </row>
    <row r="316" spans="1:4" s="1" customFormat="1" ht="12.75" x14ac:dyDescent="0.15">
      <c r="A316" s="7"/>
      <c r="B316" s="8"/>
      <c r="C316" s="38"/>
      <c r="D316" s="34"/>
    </row>
    <row r="317" spans="1:4" s="1" customFormat="1" ht="12.75" x14ac:dyDescent="0.15">
      <c r="A317" s="7"/>
      <c r="B317" s="8"/>
      <c r="C317" s="38"/>
      <c r="D317" s="34"/>
    </row>
    <row r="318" spans="1:4" s="1" customFormat="1" ht="12.75" x14ac:dyDescent="0.15">
      <c r="A318" s="7"/>
      <c r="B318" s="8"/>
      <c r="C318" s="38"/>
      <c r="D318" s="34"/>
    </row>
    <row r="319" spans="1:4" s="1" customFormat="1" ht="12.75" x14ac:dyDescent="0.15">
      <c r="A319" s="7"/>
      <c r="B319" s="8"/>
      <c r="C319" s="38"/>
      <c r="D319" s="34"/>
    </row>
    <row r="320" spans="1:4" s="1" customFormat="1" ht="13.5" thickBot="1" x14ac:dyDescent="0.2">
      <c r="A320" s="9"/>
      <c r="B320" s="10"/>
      <c r="C320" s="39"/>
      <c r="D320" s="35"/>
    </row>
    <row r="321" spans="1:4" s="1" customFormat="1" ht="13.5" thickBot="1" x14ac:dyDescent="0.2">
      <c r="A321" s="49" t="s">
        <v>11</v>
      </c>
      <c r="B321" s="50">
        <f>SUM(B311:B320)</f>
        <v>10</v>
      </c>
      <c r="C321" s="51"/>
      <c r="D321" s="52"/>
    </row>
    <row r="322" spans="1:4" s="33" customFormat="1" ht="12.75" thickTop="1" thickBot="1" x14ac:dyDescent="0.2">
      <c r="A322" s="4"/>
      <c r="B322" s="4"/>
      <c r="C322" s="4"/>
    </row>
    <row r="323" spans="1:4" s="2" customFormat="1" ht="30" customHeight="1" thickTop="1" thickBot="1" x14ac:dyDescent="0.25">
      <c r="A323" s="43" t="s">
        <v>5</v>
      </c>
      <c r="B323" s="67">
        <v>42713</v>
      </c>
      <c r="C323" s="30"/>
      <c r="D323" s="31"/>
    </row>
    <row r="324" spans="1:4" s="2" customFormat="1" ht="30" customHeight="1" thickBot="1" x14ac:dyDescent="0.25">
      <c r="A324" s="42" t="s">
        <v>8</v>
      </c>
      <c r="B324" s="32" t="s">
        <v>86</v>
      </c>
      <c r="C324" s="44" t="s">
        <v>10</v>
      </c>
      <c r="D324" s="36" t="s">
        <v>9</v>
      </c>
    </row>
    <row r="325" spans="1:4" s="1" customFormat="1" ht="12.75" x14ac:dyDescent="0.15">
      <c r="A325" s="5" t="s">
        <v>25</v>
      </c>
      <c r="B325" s="6">
        <v>8</v>
      </c>
      <c r="C325" s="37" t="s">
        <v>43</v>
      </c>
      <c r="D325" s="40"/>
    </row>
    <row r="326" spans="1:4" s="1" customFormat="1" ht="12.75" x14ac:dyDescent="0.15">
      <c r="A326" s="7"/>
      <c r="B326" s="8"/>
      <c r="C326" s="38"/>
      <c r="D326" s="34"/>
    </row>
    <row r="327" spans="1:4" s="1" customFormat="1" ht="12.75" x14ac:dyDescent="0.15">
      <c r="A327" s="7"/>
      <c r="B327" s="8"/>
      <c r="C327" s="38"/>
      <c r="D327" s="34"/>
    </row>
    <row r="328" spans="1:4" s="1" customFormat="1" ht="12.75" x14ac:dyDescent="0.15">
      <c r="A328" s="7"/>
      <c r="B328" s="8"/>
      <c r="C328" s="45"/>
      <c r="D328" s="34"/>
    </row>
    <row r="329" spans="1:4" s="1" customFormat="1" ht="13.5" customHeight="1" x14ac:dyDescent="0.15">
      <c r="A329" s="7"/>
      <c r="B329" s="8"/>
      <c r="C329" s="38"/>
      <c r="D329" s="34"/>
    </row>
    <row r="330" spans="1:4" s="1" customFormat="1" ht="12.75" x14ac:dyDescent="0.15">
      <c r="A330" s="7"/>
      <c r="B330" s="8"/>
      <c r="C330" s="38"/>
      <c r="D330" s="34"/>
    </row>
    <row r="331" spans="1:4" s="1" customFormat="1" ht="12.75" x14ac:dyDescent="0.15">
      <c r="A331" s="7"/>
      <c r="B331" s="8"/>
      <c r="C331" s="38"/>
      <c r="D331" s="34"/>
    </row>
    <row r="332" spans="1:4" s="1" customFormat="1" ht="12.75" x14ac:dyDescent="0.15">
      <c r="A332" s="7"/>
      <c r="B332" s="8"/>
      <c r="C332" s="38"/>
      <c r="D332" s="34"/>
    </row>
    <row r="333" spans="1:4" s="1" customFormat="1" ht="12.75" x14ac:dyDescent="0.15">
      <c r="A333" s="7"/>
      <c r="B333" s="8"/>
      <c r="C333" s="38"/>
      <c r="D333" s="34"/>
    </row>
    <row r="334" spans="1:4" s="1" customFormat="1" ht="13.5" thickBot="1" x14ac:dyDescent="0.2">
      <c r="A334" s="9"/>
      <c r="B334" s="10"/>
      <c r="C334" s="39"/>
      <c r="D334" s="35"/>
    </row>
    <row r="335" spans="1:4" s="1" customFormat="1" ht="13.5" thickBot="1" x14ac:dyDescent="0.2">
      <c r="A335" s="49" t="s">
        <v>11</v>
      </c>
      <c r="B335" s="50">
        <f>SUM(B325:B334)</f>
        <v>8</v>
      </c>
      <c r="C335" s="51"/>
      <c r="D335" s="52"/>
    </row>
    <row r="336" spans="1:4" s="33" customFormat="1" ht="12.75" thickTop="1" thickBot="1" x14ac:dyDescent="0.2">
      <c r="A336" s="4"/>
      <c r="B336" s="4"/>
      <c r="C336" s="4"/>
    </row>
    <row r="337" spans="1:4" s="2" customFormat="1" ht="30" customHeight="1" thickTop="1" thickBot="1" x14ac:dyDescent="0.25">
      <c r="A337" s="43" t="s">
        <v>5</v>
      </c>
      <c r="B337" s="67">
        <v>42706</v>
      </c>
      <c r="C337" s="30"/>
      <c r="D337" s="31"/>
    </row>
    <row r="338" spans="1:4" s="2" customFormat="1" ht="30" customHeight="1" thickBot="1" x14ac:dyDescent="0.25">
      <c r="A338" s="42" t="s">
        <v>8</v>
      </c>
      <c r="B338" s="32" t="s">
        <v>86</v>
      </c>
      <c r="C338" s="44" t="s">
        <v>10</v>
      </c>
      <c r="D338" s="36" t="s">
        <v>9</v>
      </c>
    </row>
    <row r="339" spans="1:4" s="1" customFormat="1" ht="12.75" x14ac:dyDescent="0.15">
      <c r="A339" s="5" t="s">
        <v>24</v>
      </c>
      <c r="B339" s="6">
        <v>4</v>
      </c>
      <c r="C339" s="37" t="s">
        <v>42</v>
      </c>
      <c r="D339" s="40"/>
    </row>
    <row r="340" spans="1:4" s="1" customFormat="1" ht="12.75" x14ac:dyDescent="0.15">
      <c r="A340" s="7" t="s">
        <v>24</v>
      </c>
      <c r="B340" s="8">
        <v>4</v>
      </c>
      <c r="C340" s="38" t="s">
        <v>44</v>
      </c>
      <c r="D340" s="34" t="s">
        <v>49</v>
      </c>
    </row>
    <row r="341" spans="1:4" s="1" customFormat="1" ht="12.75" x14ac:dyDescent="0.15">
      <c r="A341" s="7"/>
      <c r="B341" s="8"/>
      <c r="C341" s="38"/>
      <c r="D341" s="34"/>
    </row>
    <row r="342" spans="1:4" s="1" customFormat="1" ht="12.75" x14ac:dyDescent="0.15">
      <c r="A342" s="7"/>
      <c r="B342" s="8"/>
      <c r="C342" s="45"/>
      <c r="D342" s="34"/>
    </row>
    <row r="343" spans="1:4" s="1" customFormat="1" ht="13.5" customHeight="1" x14ac:dyDescent="0.15">
      <c r="A343" s="7"/>
      <c r="B343" s="8"/>
      <c r="C343" s="38"/>
      <c r="D343" s="34"/>
    </row>
    <row r="344" spans="1:4" s="1" customFormat="1" ht="12.75" x14ac:dyDescent="0.15">
      <c r="A344" s="7"/>
      <c r="B344" s="8"/>
      <c r="C344" s="38"/>
      <c r="D344" s="34"/>
    </row>
    <row r="345" spans="1:4" s="1" customFormat="1" ht="12.75" x14ac:dyDescent="0.15">
      <c r="A345" s="7"/>
      <c r="B345" s="8"/>
      <c r="C345" s="38"/>
      <c r="D345" s="34"/>
    </row>
    <row r="346" spans="1:4" s="1" customFormat="1" ht="12.75" x14ac:dyDescent="0.15">
      <c r="A346" s="7"/>
      <c r="B346" s="8"/>
      <c r="C346" s="38"/>
      <c r="D346" s="34"/>
    </row>
    <row r="347" spans="1:4" s="1" customFormat="1" ht="12.75" x14ac:dyDescent="0.15">
      <c r="A347" s="7"/>
      <c r="B347" s="8"/>
      <c r="C347" s="38"/>
      <c r="D347" s="34"/>
    </row>
    <row r="348" spans="1:4" s="1" customFormat="1" ht="13.5" thickBot="1" x14ac:dyDescent="0.2">
      <c r="A348" s="9"/>
      <c r="B348" s="10"/>
      <c r="C348" s="39"/>
      <c r="D348" s="35"/>
    </row>
    <row r="349" spans="1:4" s="1" customFormat="1" ht="13.5" thickBot="1" x14ac:dyDescent="0.2">
      <c r="A349" s="49" t="s">
        <v>11</v>
      </c>
      <c r="B349" s="50">
        <f>SUM(B339:B348)</f>
        <v>8</v>
      </c>
      <c r="C349" s="51"/>
      <c r="D349" s="52"/>
    </row>
    <row r="350" spans="1:4" s="33" customFormat="1" ht="12.75" thickTop="1" thickBot="1" x14ac:dyDescent="0.2">
      <c r="A350" s="4"/>
      <c r="B350" s="4"/>
      <c r="C350" s="4"/>
    </row>
    <row r="351" spans="1:4" s="2" customFormat="1" ht="30" customHeight="1" thickTop="1" thickBot="1" x14ac:dyDescent="0.25">
      <c r="A351" s="43" t="s">
        <v>5</v>
      </c>
      <c r="B351" s="67">
        <v>42698</v>
      </c>
      <c r="C351" s="30"/>
      <c r="D351" s="31"/>
    </row>
    <row r="352" spans="1:4" s="2" customFormat="1" ht="30" customHeight="1" thickBot="1" x14ac:dyDescent="0.25">
      <c r="A352" s="42" t="s">
        <v>8</v>
      </c>
      <c r="B352" s="32" t="s">
        <v>86</v>
      </c>
      <c r="C352" s="44" t="s">
        <v>10</v>
      </c>
      <c r="D352" s="36" t="s">
        <v>9</v>
      </c>
    </row>
    <row r="353" spans="1:4" s="1" customFormat="1" ht="12.75" x14ac:dyDescent="0.15">
      <c r="A353" s="5" t="s">
        <v>24</v>
      </c>
      <c r="B353" s="6">
        <v>5</v>
      </c>
      <c r="C353" s="38" t="s">
        <v>40</v>
      </c>
      <c r="D353" s="40"/>
    </row>
    <row r="354" spans="1:4" s="1" customFormat="1" ht="12.75" x14ac:dyDescent="0.15">
      <c r="A354" s="7" t="s">
        <v>24</v>
      </c>
      <c r="B354" s="8">
        <v>3</v>
      </c>
      <c r="C354" s="38" t="s">
        <v>41</v>
      </c>
      <c r="D354" s="34"/>
    </row>
    <row r="355" spans="1:4" s="1" customFormat="1" ht="12.75" x14ac:dyDescent="0.15">
      <c r="A355" s="7"/>
      <c r="B355" s="8"/>
      <c r="C355" s="38"/>
      <c r="D355" s="34"/>
    </row>
    <row r="356" spans="1:4" s="1" customFormat="1" ht="12.75" x14ac:dyDescent="0.15">
      <c r="A356" s="7"/>
      <c r="B356" s="8"/>
      <c r="C356" s="45"/>
      <c r="D356" s="34"/>
    </row>
    <row r="357" spans="1:4" s="1" customFormat="1" ht="13.5" customHeight="1" x14ac:dyDescent="0.15">
      <c r="A357" s="7"/>
      <c r="B357" s="8"/>
      <c r="C357" s="38"/>
      <c r="D357" s="34"/>
    </row>
    <row r="358" spans="1:4" s="1" customFormat="1" ht="12.75" x14ac:dyDescent="0.15">
      <c r="A358" s="7"/>
      <c r="B358" s="8"/>
      <c r="C358" s="38"/>
      <c r="D358" s="34"/>
    </row>
    <row r="359" spans="1:4" s="1" customFormat="1" ht="12.75" x14ac:dyDescent="0.15">
      <c r="A359" s="7"/>
      <c r="B359" s="8"/>
      <c r="C359" s="38"/>
      <c r="D359" s="34"/>
    </row>
    <row r="360" spans="1:4" s="1" customFormat="1" ht="12.75" x14ac:dyDescent="0.15">
      <c r="A360" s="7"/>
      <c r="B360" s="8"/>
      <c r="C360" s="38"/>
      <c r="D360" s="34"/>
    </row>
    <row r="361" spans="1:4" s="1" customFormat="1" ht="12.75" x14ac:dyDescent="0.15">
      <c r="A361" s="7"/>
      <c r="B361" s="8"/>
      <c r="C361" s="38"/>
      <c r="D361" s="34"/>
    </row>
    <row r="362" spans="1:4" s="1" customFormat="1" ht="13.5" thickBot="1" x14ac:dyDescent="0.2">
      <c r="A362" s="9"/>
      <c r="B362" s="10"/>
      <c r="C362" s="39"/>
      <c r="D362" s="35"/>
    </row>
    <row r="363" spans="1:4" s="1" customFormat="1" ht="13.5" thickBot="1" x14ac:dyDescent="0.2">
      <c r="A363" s="49" t="s">
        <v>11</v>
      </c>
      <c r="B363" s="50">
        <f>SUM(B353:B362)</f>
        <v>8</v>
      </c>
      <c r="C363" s="51"/>
      <c r="D363" s="52"/>
    </row>
    <row r="364" spans="1:4" s="33" customFormat="1" ht="12.75" thickTop="1" thickBot="1" x14ac:dyDescent="0.2">
      <c r="A364" s="4"/>
      <c r="B364" s="4"/>
      <c r="C364" s="4"/>
    </row>
    <row r="365" spans="1:4" s="2" customFormat="1" ht="30" customHeight="1" thickTop="1" thickBot="1" x14ac:dyDescent="0.25">
      <c r="A365" s="43" t="s">
        <v>5</v>
      </c>
      <c r="B365" s="67">
        <v>42692</v>
      </c>
      <c r="C365" s="30"/>
      <c r="D365" s="31"/>
    </row>
    <row r="366" spans="1:4" s="2" customFormat="1" ht="30" customHeight="1" thickBot="1" x14ac:dyDescent="0.25">
      <c r="A366" s="42" t="s">
        <v>8</v>
      </c>
      <c r="B366" s="32" t="s">
        <v>86</v>
      </c>
      <c r="C366" s="44" t="s">
        <v>10</v>
      </c>
      <c r="D366" s="36" t="s">
        <v>9</v>
      </c>
    </row>
    <row r="367" spans="1:4" s="1" customFormat="1" ht="12.75" x14ac:dyDescent="0.15">
      <c r="A367" s="5" t="s">
        <v>24</v>
      </c>
      <c r="B367" s="6">
        <v>2</v>
      </c>
      <c r="C367" s="37" t="s">
        <v>38</v>
      </c>
      <c r="D367" s="40"/>
    </row>
    <row r="368" spans="1:4" s="1" customFormat="1" ht="12.75" x14ac:dyDescent="0.15">
      <c r="A368" s="7"/>
      <c r="B368" s="8">
        <v>3</v>
      </c>
      <c r="C368" s="38" t="s">
        <v>39</v>
      </c>
      <c r="D368" s="34"/>
    </row>
    <row r="369" spans="1:4" s="1" customFormat="1" ht="12.75" x14ac:dyDescent="0.15">
      <c r="A369" s="7"/>
      <c r="B369" s="8">
        <v>3</v>
      </c>
      <c r="C369" s="38" t="s">
        <v>37</v>
      </c>
      <c r="D369" s="34"/>
    </row>
    <row r="370" spans="1:4" s="1" customFormat="1" ht="12.75" x14ac:dyDescent="0.15">
      <c r="A370" s="7"/>
      <c r="B370" s="8"/>
      <c r="C370" s="45"/>
      <c r="D370" s="34"/>
    </row>
    <row r="371" spans="1:4" s="1" customFormat="1" ht="13.5" customHeight="1" x14ac:dyDescent="0.15">
      <c r="A371" s="7"/>
      <c r="B371" s="8"/>
      <c r="C371" s="38"/>
      <c r="D371" s="34"/>
    </row>
    <row r="372" spans="1:4" s="1" customFormat="1" ht="12.75" x14ac:dyDescent="0.15">
      <c r="A372" s="7"/>
      <c r="B372" s="8"/>
      <c r="C372" s="38"/>
      <c r="D372" s="34"/>
    </row>
    <row r="373" spans="1:4" s="1" customFormat="1" ht="12.75" x14ac:dyDescent="0.15">
      <c r="A373" s="7"/>
      <c r="B373" s="8"/>
      <c r="C373" s="38"/>
      <c r="D373" s="34"/>
    </row>
    <row r="374" spans="1:4" s="1" customFormat="1" ht="12.75" x14ac:dyDescent="0.15">
      <c r="A374" s="7"/>
      <c r="B374" s="8"/>
      <c r="C374" s="38"/>
      <c r="D374" s="34"/>
    </row>
    <row r="375" spans="1:4" s="1" customFormat="1" ht="12.75" x14ac:dyDescent="0.15">
      <c r="A375" s="7"/>
      <c r="B375" s="8"/>
      <c r="C375" s="38"/>
      <c r="D375" s="34"/>
    </row>
    <row r="376" spans="1:4" s="1" customFormat="1" ht="13.5" thickBot="1" x14ac:dyDescent="0.2">
      <c r="A376" s="9"/>
      <c r="B376" s="10"/>
      <c r="C376" s="39"/>
      <c r="D376" s="35"/>
    </row>
    <row r="377" spans="1:4" s="1" customFormat="1" ht="13.5" thickBot="1" x14ac:dyDescent="0.2">
      <c r="A377" s="49" t="s">
        <v>11</v>
      </c>
      <c r="B377" s="50">
        <f>SUM(B367:B376)</f>
        <v>8</v>
      </c>
      <c r="C377" s="51"/>
      <c r="D377" s="52"/>
    </row>
    <row r="378" spans="1:4" s="33" customFormat="1" ht="12" thickTop="1" x14ac:dyDescent="0.15">
      <c r="A378" s="4"/>
      <c r="B378" s="4"/>
      <c r="C378" s="4"/>
    </row>
    <row r="379" spans="1:4" s="2" customFormat="1" ht="30" customHeight="1" x14ac:dyDescent="0.15">
      <c r="A379" s="4"/>
      <c r="B379" s="4"/>
      <c r="C379" s="4"/>
      <c r="D379" s="33"/>
    </row>
    <row r="380" spans="1:4" s="2" customFormat="1" ht="30" customHeight="1" x14ac:dyDescent="0.15">
      <c r="A380" s="54"/>
      <c r="B380" s="55"/>
      <c r="C380" s="54"/>
      <c r="D380" s="56"/>
    </row>
    <row r="381" spans="1:4" s="1" customFormat="1" x14ac:dyDescent="0.15">
      <c r="A381" s="54"/>
      <c r="B381" s="55"/>
      <c r="C381" s="54"/>
      <c r="D381" s="56"/>
    </row>
    <row r="382" spans="1:4" s="1" customFormat="1" x14ac:dyDescent="0.15">
      <c r="A382" s="54"/>
      <c r="B382" s="55"/>
      <c r="C382" s="54"/>
      <c r="D382" s="56"/>
    </row>
    <row r="383" spans="1:4" s="1" customFormat="1" x14ac:dyDescent="0.15">
      <c r="A383" s="54"/>
      <c r="B383" s="55"/>
      <c r="C383" s="54"/>
      <c r="D383" s="56"/>
    </row>
    <row r="384" spans="1:4" s="1" customFormat="1" x14ac:dyDescent="0.15">
      <c r="A384" s="54"/>
      <c r="B384" s="55"/>
      <c r="C384" s="54"/>
      <c r="D384" s="56"/>
    </row>
    <row r="385" spans="1:4" s="1" customFormat="1" ht="13.5" customHeight="1" x14ac:dyDescent="0.15">
      <c r="A385" s="54"/>
      <c r="B385" s="55"/>
      <c r="C385" s="54"/>
      <c r="D385" s="56"/>
    </row>
    <row r="386" spans="1:4" s="1" customFormat="1" x14ac:dyDescent="0.15">
      <c r="A386" s="54"/>
      <c r="B386" s="55"/>
      <c r="C386" s="54"/>
      <c r="D386" s="56"/>
    </row>
    <row r="387" spans="1:4" s="1" customFormat="1" x14ac:dyDescent="0.15">
      <c r="A387" s="54"/>
      <c r="B387" s="55"/>
      <c r="C387" s="54"/>
      <c r="D387" s="56"/>
    </row>
    <row r="388" spans="1:4" s="1" customFormat="1" x14ac:dyDescent="0.15">
      <c r="A388" s="54"/>
      <c r="B388" s="55"/>
      <c r="C388" s="54"/>
      <c r="D388" s="56"/>
    </row>
    <row r="389" spans="1:4" s="1" customFormat="1" x14ac:dyDescent="0.15">
      <c r="A389" s="54"/>
      <c r="B389" s="55"/>
      <c r="C389" s="54"/>
      <c r="D389" s="56"/>
    </row>
    <row r="390" spans="1:4" s="1" customFormat="1" x14ac:dyDescent="0.15">
      <c r="A390" s="54"/>
      <c r="B390" s="55"/>
      <c r="C390" s="54"/>
      <c r="D390" s="56"/>
    </row>
    <row r="391" spans="1:4" s="1" customFormat="1" x14ac:dyDescent="0.15">
      <c r="A391" s="54"/>
      <c r="B391" s="55"/>
      <c r="C391" s="54"/>
      <c r="D391" s="56"/>
    </row>
    <row r="392" spans="1:4" s="33" customFormat="1" x14ac:dyDescent="0.15">
      <c r="A392" s="54"/>
      <c r="B392" s="55"/>
      <c r="C392" s="54"/>
      <c r="D392" s="56"/>
    </row>
    <row r="393" spans="1:4" s="33" customFormat="1" x14ac:dyDescent="0.15">
      <c r="A393" s="54"/>
      <c r="B393" s="55"/>
      <c r="C393" s="54"/>
      <c r="D393" s="56"/>
    </row>
  </sheetData>
  <sheetProtection formatRows="0" insertRows="0" insertHyperlinks="0" deleteRows="0" selectLockedCells="1"/>
  <phoneticPr fontId="0" type="noConversion"/>
  <dataValidations count="2">
    <dataValidation type="whole" allowBlank="1" showInputMessage="1" showErrorMessage="1" errorTitle="Erreur de saisie" error="Il faut introduire un nombre entier entre 0 et 10 ..." sqref="B367:B377 B353:B363 B339:B349 B325:B335 B311:B321 B297:B307 B283:B293 B269:B279 B255:B265 B241:B251 B227:B237 B213:B223 B199:B209 B185:B195 B171:B181 B157:B167 B143:B153 B129:B139 B115:B125 B101:B111 B87:B97 B73:B83 B59:B69 B45:B55 B31:B41 B17:B27 B3:B13">
      <formula1>0</formula1>
      <formula2>10</formula2>
    </dataValidation>
    <dataValidation type="list" allowBlank="1" showInputMessage="1" showErrorMessage="1" sqref="A367:A376 A353:A362 A17:A26 A325:A334 A311:A320 A297:A306 A283:A292 A269:A278 A255:A264 A241:A250 A227:A236 A213:A222 A199:A208 A185:A194 A171:A180 A157:A166 A143:A152 A129:A138 A115:A124 A101:A110 A87:A96 A73:A82 A59:A68 A45:A54 A31:A40 A339:A348 A3:A12">
      <formula1>LstTaches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7" fitToHeight="4" orientation="portrait" r:id="rId1"/>
  <headerFooter alignWithMargins="0">
    <oddHeader>&amp;L&amp;"ETML,Normal"&amp;14ETML&amp;R&amp;14&amp;USection Electronique</oddHeader>
    <oddFooter>&amp;L&amp;14&amp;D - GGZ / rev. AOR&amp;C&amp;14&amp;F - &amp;A&amp;R&amp;14&amp;P/&amp;N</oddFooter>
  </headerFooter>
  <rowBreaks count="28" manualBreakCount="28">
    <brk id="28" max="16383" man="1"/>
    <brk id="42" max="16383" man="1"/>
    <brk id="56" max="16383" man="1"/>
    <brk id="70" max="16383" man="1"/>
    <brk id="84" max="16383" man="1"/>
    <brk id="98" max="16383" man="1"/>
    <brk id="112" max="16383" man="1"/>
    <brk id="126" max="16383" man="1"/>
    <brk id="140" max="16383" man="1"/>
    <brk id="154" max="16383" man="1"/>
    <brk id="168" max="16383" man="1"/>
    <brk id="182" max="16383" man="1"/>
    <brk id="196" max="16383" man="1"/>
    <brk id="210" max="16383" man="1"/>
    <brk id="224" max="16383" man="1"/>
    <brk id="238" max="16383" man="1"/>
    <brk id="252" max="16383" man="1"/>
    <brk id="266" max="16383" man="1"/>
    <brk id="280" max="16383" man="1"/>
    <brk id="294" max="16383" man="1"/>
    <brk id="308" max="16383" man="1"/>
    <brk id="322" max="16383" man="1"/>
    <brk id="336" max="16383" man="1"/>
    <brk id="350" max="16383" man="1"/>
    <brk id="364" max="16383" man="1"/>
    <brk id="378" max="16383" man="1"/>
    <brk id="392" max="16383" man="1"/>
    <brk id="393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ierJNLMaster">
                <anchor moveWithCells="1" sizeWithCells="1">
                  <from>
                    <xdr:col>4</xdr:col>
                    <xdr:colOff>447675</xdr:colOff>
                    <xdr:row>392</xdr:row>
                    <xdr:rowOff>0</xdr:rowOff>
                  </from>
                  <to>
                    <xdr:col>6</xdr:col>
                    <xdr:colOff>219075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opierJNLMaster">
                <anchor>
                  <from>
                    <xdr:col>3</xdr:col>
                    <xdr:colOff>1162050</xdr:colOff>
                    <xdr:row>0</xdr:row>
                    <xdr:rowOff>19050</xdr:rowOff>
                  </from>
                  <to>
                    <xdr:col>3</xdr:col>
                    <xdr:colOff>1905000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"/>
  <sheetViews>
    <sheetView zoomScale="75" zoomScaleNormal="70" zoomScaleSheetLayoutView="78" workbookViewId="0">
      <selection activeCell="C35" sqref="C35"/>
    </sheetView>
  </sheetViews>
  <sheetFormatPr baseColWidth="10" defaultColWidth="11.5703125" defaultRowHeight="12.75" x14ac:dyDescent="0.2"/>
  <cols>
    <col min="1" max="1" width="14.28515625" style="53" customWidth="1"/>
    <col min="2" max="3" width="80.7109375" style="53" customWidth="1"/>
    <col min="4" max="16384" width="11.5703125" style="53"/>
  </cols>
  <sheetData/>
  <phoneticPr fontId="0" type="noConversion"/>
  <pageMargins left="0.78740157499999996" right="0.78740157499999996" top="0.984251969" bottom="0.984251969" header="0.4921259845" footer="0.4921259845"/>
  <pageSetup paperSize="9" fitToHeight="4" orientation="portrait" r:id="rId1"/>
  <headerFooter alignWithMargins="0">
    <oddHeader>&amp;L&amp;"ETML,Normal"ETML&amp;RSection Electronique</oddHeader>
    <oddFooter>&amp;L&amp;D - GGZ / rev. AOR&amp;C&amp;F - &amp;A&amp;R&amp;P/&amp;N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pierFAQMaster">
                <anchor>
                  <from>
                    <xdr:col>3</xdr:col>
                    <xdr:colOff>38100</xdr:colOff>
                    <xdr:row>0</xdr:row>
                    <xdr:rowOff>28575</xdr:rowOff>
                  </from>
                  <to>
                    <xdr:col>4</xdr:col>
                    <xdr:colOff>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14"/>
  <sheetViews>
    <sheetView view="pageBreakPreview" zoomScale="85" zoomScaleNormal="130" workbookViewId="0">
      <selection sqref="A1:XFD14"/>
    </sheetView>
  </sheetViews>
  <sheetFormatPr baseColWidth="10" defaultRowHeight="11.25" x14ac:dyDescent="0.15"/>
  <cols>
    <col min="1" max="1" width="21.42578125" style="4" customWidth="1"/>
    <col min="2" max="2" width="15.7109375" style="4" customWidth="1"/>
    <col min="3" max="3" width="66.7109375" style="4" customWidth="1"/>
    <col min="4" max="4" width="34.85546875" style="33" customWidth="1"/>
    <col min="5" max="16384" width="11.42578125" style="33"/>
  </cols>
  <sheetData>
    <row r="1" spans="1:4" s="2" customFormat="1" ht="30" customHeight="1" thickTop="1" thickBot="1" x14ac:dyDescent="0.25">
      <c r="A1" s="43" t="s">
        <v>5</v>
      </c>
      <c r="B1" s="67"/>
      <c r="C1" s="30"/>
      <c r="D1" s="31"/>
    </row>
    <row r="2" spans="1:4" s="2" customFormat="1" ht="30" customHeight="1" thickBot="1" x14ac:dyDescent="0.25">
      <c r="A2" s="42" t="s">
        <v>8</v>
      </c>
      <c r="B2" s="32" t="s">
        <v>19</v>
      </c>
      <c r="C2" s="44" t="s">
        <v>10</v>
      </c>
      <c r="D2" s="36" t="s">
        <v>9</v>
      </c>
    </row>
    <row r="3" spans="1:4" s="1" customFormat="1" ht="12.75" x14ac:dyDescent="0.15">
      <c r="A3" s="5"/>
      <c r="B3" s="6"/>
      <c r="C3" s="37"/>
      <c r="D3" s="40"/>
    </row>
    <row r="4" spans="1:4" s="1" customFormat="1" ht="12.75" x14ac:dyDescent="0.15">
      <c r="A4" s="7"/>
      <c r="B4" s="8"/>
      <c r="C4" s="38"/>
      <c r="D4" s="34"/>
    </row>
    <row r="5" spans="1:4" s="1" customFormat="1" ht="12.75" x14ac:dyDescent="0.15">
      <c r="A5" s="7"/>
      <c r="B5" s="8"/>
      <c r="C5" s="38"/>
      <c r="D5" s="34"/>
    </row>
    <row r="6" spans="1:4" s="1" customFormat="1" ht="12.75" x14ac:dyDescent="0.15">
      <c r="A6" s="7"/>
      <c r="B6" s="8"/>
      <c r="C6" s="45"/>
      <c r="D6" s="34"/>
    </row>
    <row r="7" spans="1:4" s="1" customFormat="1" ht="13.5" customHeight="1" x14ac:dyDescent="0.15">
      <c r="A7" s="7"/>
      <c r="B7" s="8"/>
      <c r="C7" s="38"/>
      <c r="D7" s="34"/>
    </row>
    <row r="8" spans="1:4" s="1" customFormat="1" ht="12.75" x14ac:dyDescent="0.15">
      <c r="A8" s="7"/>
      <c r="B8" s="8"/>
      <c r="C8" s="38"/>
      <c r="D8" s="34"/>
    </row>
    <row r="9" spans="1:4" s="1" customFormat="1" ht="12.75" x14ac:dyDescent="0.15">
      <c r="A9" s="7"/>
      <c r="B9" s="8"/>
      <c r="C9" s="38"/>
      <c r="D9" s="34"/>
    </row>
    <row r="10" spans="1:4" s="1" customFormat="1" ht="12.75" x14ac:dyDescent="0.15">
      <c r="A10" s="7"/>
      <c r="B10" s="8"/>
      <c r="C10" s="38"/>
      <c r="D10" s="34"/>
    </row>
    <row r="11" spans="1:4" s="1" customFormat="1" ht="12.75" x14ac:dyDescent="0.15">
      <c r="A11" s="7"/>
      <c r="B11" s="8"/>
      <c r="C11" s="38"/>
      <c r="D11" s="34"/>
    </row>
    <row r="12" spans="1:4" s="1" customFormat="1" ht="13.5" thickBot="1" x14ac:dyDescent="0.2">
      <c r="A12" s="9"/>
      <c r="B12" s="10"/>
      <c r="C12" s="39"/>
      <c r="D12" s="35"/>
    </row>
    <row r="13" spans="1:4" s="1" customFormat="1" ht="13.5" thickBot="1" x14ac:dyDescent="0.2">
      <c r="A13" s="49" t="s">
        <v>11</v>
      </c>
      <c r="B13" s="50">
        <f>SUM(B3:B12)</f>
        <v>0</v>
      </c>
      <c r="C13" s="51"/>
      <c r="D13" s="52"/>
    </row>
    <row r="14" spans="1:4" ht="12" thickTop="1" x14ac:dyDescent="0.15"/>
  </sheetData>
  <sheetProtection formatRows="0" insertRows="0" insertHyperlinks="0" deleteRows="0"/>
  <phoneticPr fontId="0" type="noConversion"/>
  <dataValidations count="2">
    <dataValidation type="list" allowBlank="1" showInputMessage="1" showErrorMessage="1" sqref="A3:A12">
      <formula1>LstTaches</formula1>
    </dataValidation>
    <dataValidation type="whole" allowBlank="1" showInputMessage="1" showErrorMessage="1" errorTitle="Erreur de saisie" error="Il faut introduire un nombre entier entre 0 et 10 ..." sqref="B3:B13">
      <formula1>0</formula1>
      <formula2>10</formula2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9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C2"/>
  <sheetViews>
    <sheetView view="pageBreakPreview" zoomScale="70" zoomScaleNormal="130" workbookViewId="0">
      <selection activeCell="A2" sqref="A2"/>
    </sheetView>
  </sheetViews>
  <sheetFormatPr baseColWidth="10" defaultRowHeight="11.25" x14ac:dyDescent="0.15"/>
  <cols>
    <col min="1" max="1" width="14.28515625" style="4" customWidth="1"/>
    <col min="2" max="2" width="80.7109375" style="4" customWidth="1"/>
    <col min="3" max="3" width="80.7109375" style="33" customWidth="1"/>
    <col min="4" max="16384" width="11.42578125" style="33"/>
  </cols>
  <sheetData>
    <row r="1" spans="1:3" s="2" customFormat="1" ht="30" customHeight="1" x14ac:dyDescent="0.2">
      <c r="A1" s="46" t="s">
        <v>12</v>
      </c>
      <c r="B1" s="47" t="s">
        <v>13</v>
      </c>
      <c r="C1" s="48" t="s">
        <v>14</v>
      </c>
    </row>
    <row r="2" spans="1:3" s="1" customFormat="1" ht="142.9" customHeight="1" thickBot="1" x14ac:dyDescent="0.2">
      <c r="A2" s="68"/>
      <c r="B2" s="69"/>
      <c r="C2" s="70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13</vt:i4>
      </vt:variant>
    </vt:vector>
  </HeadingPairs>
  <TitlesOfParts>
    <vt:vector size="18" baseType="lpstr">
      <vt:lpstr>Planification</vt:lpstr>
      <vt:lpstr>Journal</vt:lpstr>
      <vt:lpstr>FAQ</vt:lpstr>
      <vt:lpstr>GrilleJNLMaster</vt:lpstr>
      <vt:lpstr>FAQMaster</vt:lpstr>
      <vt:lpstr>DureeP</vt:lpstr>
      <vt:lpstr>FAQMaster!ProjetTravail</vt:lpstr>
      <vt:lpstr>GrilleJNLMaster!ProjetTravail</vt:lpstr>
      <vt:lpstr>ProjetTravail</vt:lpstr>
      <vt:lpstr>FAQMaster!TempsP</vt:lpstr>
      <vt:lpstr>GrilleJNLMaster!TempsP</vt:lpstr>
      <vt:lpstr>TempsP</vt:lpstr>
      <vt:lpstr>TotJNLP</vt:lpstr>
      <vt:lpstr>TOTPP</vt:lpstr>
      <vt:lpstr>TRAVAUX</vt:lpstr>
      <vt:lpstr>FAQMaster!Zone_d_impression</vt:lpstr>
      <vt:lpstr>GrilleJNLMaster!Zone_d_impression</vt:lpstr>
      <vt:lpstr>Planification!Zone_d_impression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Julien Blanc</dc:creator>
  <cp:lastModifiedBy>Simonet Yoann</cp:lastModifiedBy>
  <cp:lastPrinted>2017-06-16T14:28:43Z</cp:lastPrinted>
  <dcterms:created xsi:type="dcterms:W3CDTF">1996-10-21T11:03:58Z</dcterms:created>
  <dcterms:modified xsi:type="dcterms:W3CDTF">2017-06-16T14:29:08Z</dcterms:modified>
</cp:coreProperties>
</file>